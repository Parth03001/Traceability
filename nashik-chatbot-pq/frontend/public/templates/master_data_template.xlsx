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50014665\Downloads\"/>
    </mc:Choice>
  </mc:AlternateContent>
  <xr:revisionPtr revIDLastSave="0" documentId="13_ncr:1_{EEF7AE27-41B5-41D3-A981-28E5709A069A}" xr6:coauthVersionLast="47" xr6:coauthVersionMax="47" xr10:uidLastSave="{00000000-0000-0000-0000-000000000000}"/>
  <bookViews>
    <workbookView xWindow="-110" yWindow="-110" windowWidth="19420" windowHeight="10300" xr2:uid="{3B804F7C-6BE2-4E4B-873E-862B9FEF616F}"/>
  </bookViews>
  <sheets>
    <sheet name="Sheet1" sheetId="1" r:id="rId1"/>
  </sheets>
  <definedNames>
    <definedName name="_xlnm._FilterDatabase" localSheetId="0" hidden="1">Sheet1!$A$1:$AU$2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1" l="1"/>
</calcChain>
</file>

<file path=xl/sharedStrings.xml><?xml version="1.0" encoding="utf-8"?>
<sst xmlns="http://schemas.openxmlformats.org/spreadsheetml/2006/main" count="35" uniqueCount="34">
  <si>
    <t>Sr.No</t>
  </si>
  <si>
    <t>Concern ID</t>
  </si>
  <si>
    <t>Concern</t>
  </si>
  <si>
    <t>Type</t>
  </si>
  <si>
    <t>Root Cause</t>
  </si>
  <si>
    <t>Action Plan</t>
  </si>
  <si>
    <t>Target Date</t>
  </si>
  <si>
    <t>Closure Date</t>
  </si>
  <si>
    <t>RYG</t>
  </si>
  <si>
    <t>Attri.</t>
  </si>
  <si>
    <t>Comm</t>
  </si>
  <si>
    <t>Line</t>
  </si>
  <si>
    <t>Stage No</t>
  </si>
  <si>
    <t>Z/E</t>
  </si>
  <si>
    <t>ATTRIBUTION</t>
  </si>
  <si>
    <t>Part</t>
  </si>
  <si>
    <t>Phenomena</t>
  </si>
  <si>
    <t>Total Incidenes</t>
  </si>
  <si>
    <t>Field defect after cut off</t>
  </si>
  <si>
    <t>Status
(3 Month basis)</t>
  </si>
  <si>
    <t>XUV3XO_3</t>
  </si>
  <si>
    <t>Vehicle reported to us with complaint of Engine Crank but does not start- Replace Compartment Harness</t>
  </si>
  <si>
    <t>WH</t>
  </si>
  <si>
    <t>F22-Engine vibration &amp; OBD Lamp ON:- 
Foreign particle trapped between injector and connector terminal
F23-AMT TCU connector wiring rub with battery trey</t>
  </si>
  <si>
    <t xml:space="preserve">1.To avoid incorrect sequence fitment of connector, marking on wiring harness to be started
-To avoid foreign particle inside injector connector area, check point and marking added at MHEPL 
2.Cot tube added on AMT TCU branch </t>
  </si>
  <si>
    <t>Trim 1</t>
  </si>
  <si>
    <t>T1-05</t>
  </si>
  <si>
    <t>Z</t>
  </si>
  <si>
    <t>Compartment Wiring</t>
  </si>
  <si>
    <t>Failure</t>
  </si>
  <si>
    <t>G</t>
  </si>
  <si>
    <t>Supplier Process</t>
  </si>
  <si>
    <t>E&amp;E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</si>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</sst>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\-yy;@"/>
  </numFmts>
  <fonts count="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name val="Aptos Narrow"/>
      <family val="2"/>
      <scheme val="minor"/>
    </font>
    <font>
      <b/>
      <sz val="16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</fills>
  <borders count="1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5" borderId="4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164" fontId="3" fillId="2" borderId="5" xfId="0" applyNumberFormat="1" applyFont="1" applyFill="1" applyBorder="1" applyAlignment="1">
      <alignment horizontal="center" vertical="center" textRotation="90"/>
    </xf>
    <xf numFmtId="164" fontId="3" fillId="2" borderId="1" xfId="0" applyNumberFormat="1" applyFont="1" applyFill="1" applyBorder="1" applyAlignment="1">
      <alignment horizontal="center" vertical="center" textRotation="90"/>
    </xf>
    <xf numFmtId="0" fontId="3" fillId="4" borderId="7" xfId="0" applyFont="1" applyFill="1" applyBorder="1" applyAlignment="1">
      <alignment vertical="center" wrapText="1"/>
    </xf>
    <xf numFmtId="0" fontId="2" fillId="5" borderId="8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 readingOrder="1"/>
    </xf>
    <xf numFmtId="0" fontId="4" fillId="0" borderId="11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6" borderId="14" xfId="0" applyFont="1" applyFill="1" applyBorder="1" applyAlignment="1">
      <alignment horizontal="center" vertical="center"/>
    </xf>
    <xf numFmtId="0" fontId="1" fillId="7" borderId="11" xfId="0" applyFont="1" applyFill="1" applyBorder="1" applyAlignment="1">
      <alignment horizontal="center" vertical="center" wrapText="1" readingOrder="1"/>
    </xf>
    <xf numFmtId="15" fontId="6" fillId="0" borderId="11" xfId="0" applyNumberFormat="1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center" wrapText="1"/>
    </xf>
  </cellXfs>
  <cellStyles count="1"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EF4CD-3CAF-4330-BB3B-210080CDDB36}">
  <dimension ref="A1:AU2"/>
  <sheetViews>
    <sheetView tabSelected="1" topLeftCell="Z1" zoomScale="59" workbookViewId="0">
      <selection activeCell="AU2" sqref="AU2"/>
    </sheetView>
  </sheetViews>
  <sheetFormatPr defaultRowHeight="14.5" x14ac:dyDescent="0.35"/>
  <cols>
    <col min="1" max="1" width="8.453125" customWidth="1"/>
    <col min="2" max="2" width="15.453125" customWidth="1"/>
    <col min="3" max="3" width="44" customWidth="1"/>
    <col min="4" max="4" width="13.1796875" customWidth="1"/>
    <col min="5" max="5" width="52.1796875" customWidth="1"/>
    <col min="6" max="6" width="49.26953125" customWidth="1"/>
    <col min="7" max="7" width="14.453125" customWidth="1"/>
    <col min="8" max="8" width="13.26953125" customWidth="1"/>
    <col min="9" max="9" width="14.81640625" customWidth="1"/>
    <col min="10" max="10" width="18.54296875" customWidth="1"/>
    <col min="11" max="11" width="16.81640625" customWidth="1"/>
    <col min="12" max="14" width="14" customWidth="1"/>
    <col min="15" max="15" width="16.1796875" customWidth="1"/>
    <col min="16" max="16" width="18.81640625" customWidth="1"/>
    <col min="17" max="17" width="18.453125" customWidth="1"/>
    <col min="18" max="18" width="11.54296875" customWidth="1"/>
    <col min="19" max="45" width="6.7265625" customWidth="1"/>
    <col min="46" max="46" width="18.81640625" customWidth="1"/>
    <col min="47" max="47" width="17.453125" customWidth="1"/>
  </cols>
  <sheetData>
    <row r="1" spans="1:47" s="15" customFormat="1" ht="101.5" customHeight="1" thickBot="1" x14ac:dyDescent="0.4">
      <c r="A1" s="1" t="s">
        <v>0</v>
      </c>
      <c r="B1" s="2" t="s">
        <v>1</v>
      </c>
      <c r="C1" s="3" t="s">
        <v>2</v>
      </c>
      <c r="D1" s="3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9" t="s">
        <v>8</v>
      </c>
      <c r="J1" s="4" t="s">
        <v>9</v>
      </c>
      <c r="K1" s="4" t="s">
        <v>10</v>
      </c>
      <c r="L1" s="5" t="s">
        <v>11</v>
      </c>
      <c r="M1" s="6" t="s">
        <v>12</v>
      </c>
      <c r="N1" s="6" t="s">
        <v>13</v>
      </c>
      <c r="O1" s="7" t="s">
        <v>14</v>
      </c>
      <c r="P1" s="8" t="s">
        <v>15</v>
      </c>
      <c r="Q1" s="8" t="s">
        <v>16</v>
      </c>
      <c r="R1" s="10" t="s">
        <v>17</v>
      </c>
      <c r="S1" s="11">
        <v>45292</v>
      </c>
      <c r="T1" s="11">
        <v>45323</v>
      </c>
      <c r="U1" s="11">
        <v>45352</v>
      </c>
      <c r="V1" s="11">
        <v>45383</v>
      </c>
      <c r="W1" s="11">
        <v>45413</v>
      </c>
      <c r="X1" s="11">
        <v>45444</v>
      </c>
      <c r="Y1" s="11">
        <v>45474</v>
      </c>
      <c r="Z1" s="11">
        <v>45505</v>
      </c>
      <c r="AA1" s="11">
        <v>45536</v>
      </c>
      <c r="AB1" s="11">
        <v>45566</v>
      </c>
      <c r="AC1" s="11">
        <v>45597</v>
      </c>
      <c r="AD1" s="11">
        <v>45627</v>
      </c>
      <c r="AE1" s="11">
        <v>45658</v>
      </c>
      <c r="AF1" s="11">
        <v>45689</v>
      </c>
      <c r="AG1" s="11">
        <v>45717</v>
      </c>
      <c r="AH1" s="11">
        <v>45748</v>
      </c>
      <c r="AI1" s="11">
        <v>45778</v>
      </c>
      <c r="AJ1" s="11">
        <v>45809</v>
      </c>
      <c r="AK1" s="11">
        <v>45839</v>
      </c>
      <c r="AL1" s="11">
        <v>45870</v>
      </c>
      <c r="AM1" s="11">
        <v>45901</v>
      </c>
      <c r="AN1" s="11">
        <v>45931</v>
      </c>
      <c r="AO1" s="11">
        <v>45962</v>
      </c>
      <c r="AP1" s="11">
        <v>45992</v>
      </c>
      <c r="AQ1" s="11">
        <v>46023</v>
      </c>
      <c r="AR1" s="11">
        <v>46054</v>
      </c>
      <c r="AS1" s="12">
        <v>46082</v>
      </c>
      <c r="AT1" s="13" t="s">
        <v>18</v>
      </c>
      <c r="AU1" s="14" t="s">
        <v>19</v>
      </c>
    </row>
    <row r="2" spans="1:47" ht="110.15" customHeight="1" x14ac:dyDescent="0.35">
      <c r="A2" s="16">
        <v>1</v>
      </c>
      <c r="B2" s="17" t="s">
        <v>20</v>
      </c>
      <c r="C2" s="18" t="s">
        <v>21</v>
      </c>
      <c r="D2" s="19" t="s">
        <v>22</v>
      </c>
      <c r="E2" s="28" t="s">
        <v>23</v>
      </c>
      <c r="F2" s="29" t="s">
        <v>24</v>
      </c>
      <c r="G2" s="27">
        <v>45352</v>
      </c>
      <c r="H2" s="19"/>
      <c r="I2" s="20" t="s">
        <v>30</v>
      </c>
      <c r="J2" s="19" t="s">
        <v>31</v>
      </c>
      <c r="K2" s="19" t="s">
        <v>32</v>
      </c>
      <c r="L2" s="20" t="s">
        <v>25</v>
      </c>
      <c r="M2" s="20" t="s">
        <v>26</v>
      </c>
      <c r="N2" s="21" t="s">
        <v>27</v>
      </c>
      <c r="O2" s="21" t="s">
        <v>33</v>
      </c>
      <c r="P2" s="21" t="s">
        <v>28</v>
      </c>
      <c r="Q2" s="21" t="s">
        <v>29</v>
      </c>
      <c r="R2" s="22">
        <f t="shared" ref="R2" si="0">SUM(S2:AS2)</f>
        <v>4</v>
      </c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>
        <v>3</v>
      </c>
      <c r="AI2" s="22"/>
      <c r="AJ2" s="22"/>
      <c r="AK2" s="22">
        <v>1</v>
      </c>
      <c r="AL2" s="22"/>
      <c r="AM2" s="22"/>
      <c r="AN2" s="22"/>
      <c r="AO2" s="22"/>
      <c r="AP2" s="22"/>
      <c r="AQ2" s="22"/>
      <c r="AR2" s="22"/>
      <c r="AS2" s="23"/>
      <c r="AT2" s="24">
        <v>0</v>
      </c>
      <c r="AU2" s="25" t="s">
        <v>30</v>
      </c>
    </row>
  </sheetData>
  <autoFilter ref="A1:AU2" xr:uid="{438EF4CD-3CAF-4330-BB3B-210080CDDB36}"/>
  <conditionalFormatting sqref="G2">
    <cfRule type="cellIs" dxfId="13" priority="1" operator="equal">
      <formula>0</formula>
    </cfRule>
  </conditionalFormatting>
  <conditionalFormatting sqref="I2">
    <cfRule type="cellIs" dxfId="12" priority="4" operator="equal">
      <formula>0</formula>
    </cfRule>
    <cfRule type="cellIs" dxfId="11" priority="5" operator="equal">
      <formula>"O"</formula>
    </cfRule>
    <cfRule type="cellIs" dxfId="10" priority="6" operator="equal">
      <formula>"G"</formula>
    </cfRule>
    <cfRule type="cellIs" dxfId="9" priority="7" operator="equal">
      <formula>"R"</formula>
    </cfRule>
    <cfRule type="cellIs" dxfId="8" priority="8" operator="equal">
      <formula>"Y"</formula>
    </cfRule>
    <cfRule type="cellIs" dxfId="7" priority="9" operator="equal">
      <formula>"B"</formula>
    </cfRule>
    <cfRule type="cellIs" dxfId="6" priority="10" stopIfTrue="1" operator="equal">
      <formula>"O"</formula>
    </cfRule>
  </conditionalFormatting>
  <conditionalFormatting sqref="R2:AS2">
    <cfRule type="cellIs" dxfId="5" priority="13" operator="equal">
      <formula>0</formula>
    </cfRule>
    <cfRule type="cellIs" dxfId="4" priority="14" operator="greaterThan">
      <formula>0</formula>
    </cfRule>
  </conditionalFormatting>
  <conditionalFormatting sqref="AU2">
    <cfRule type="containsBlanks" dxfId="3" priority="15">
      <formula>LEN(TRIM(AU2))=0</formula>
    </cfRule>
    <cfRule type="containsText" dxfId="2" priority="16" operator="containsText" text="R">
      <formula>NOT(ISERROR(SEARCH("R",AU2)))</formula>
    </cfRule>
    <cfRule type="containsText" dxfId="1" priority="17" operator="containsText" text="G">
      <formula>NOT(ISERROR(SEARCH("G",AU2)))</formula>
    </cfRule>
  </conditionalFormatting>
  <conditionalFormatting sqref="C1:C2">
    <cfRule type="duplicateValues" dxfId="0" priority="19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JADHAV AJINKYA</dc:creator>
  <cp:keywords/>
  <dc:description/>
  <cp:lastModifiedBy>JADHAV PARTH</cp:lastModifiedBy>
  <cp:revision/>
  <dcterms:created xsi:type="dcterms:W3CDTF">2026-03-20T11:37:12Z</dcterms:created>
  <dcterms:modified xsi:type="dcterms:W3CDTF">2026-04-21T09:41:12Z</dcterms:modified>
  <cp:category/>
  <cp:contentStatus/>
</cp:coreProperties>
</file>