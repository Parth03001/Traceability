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2"/>
  <workbookPr/>
  <mc:AlternateContent xmlns:mc="http://schemas.openxmlformats.org/markup-compatibility/2006">
    <mc:Choice Requires="x15">
      <x15ac:absPath xmlns:x15ac="http://schemas.microsoft.com/office/spreadsheetml/2010/11/ac" url="C:\Users\23180744\Downloads\"/>
    </mc:Choice>
  </mc:AlternateContent>
  <xr:revisionPtr revIDLastSave="0" documentId="8_{53EF7DF2-32E0-46BC-BA66-34124D84935C}" xr6:coauthVersionLast="47" xr6:coauthVersionMax="47" xr10:uidLastSave="{00000000-0000-0000-0000-000000000000}"/>
  <bookViews>
    <workbookView xWindow="-110" yWindow="-110" windowWidth="19420" windowHeight="10300" xr2:uid="{3B804F7C-6BE2-4E4B-873E-862B9FEF616F}"/>
  </bookViews>
  <sheets>
    <sheet name="Sheet1" sheetId="1" r:id="rId1"/>
  </sheets>
  <externalReferences>
    <externalReference r:id="rId2"/>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36" i="1" l="1"/>
  <c r="I36" i="1"/>
  <c r="K36" i="1"/>
  <c r="J36" i="1"/>
  <c r="O36" i="1" s="1"/>
  <c r="R35" i="1"/>
  <c r="I35" i="1"/>
  <c r="K35" i="1"/>
  <c r="J35" i="1"/>
  <c r="O35" i="1" s="1"/>
  <c r="R34" i="1"/>
  <c r="I34" i="1"/>
  <c r="K34" i="1"/>
  <c r="J34" i="1"/>
  <c r="O34" i="1" s="1"/>
  <c r="R33" i="1"/>
  <c r="I33" i="1"/>
  <c r="K33" i="1"/>
  <c r="J33" i="1"/>
  <c r="O33" i="1" s="1"/>
  <c r="R32" i="1"/>
  <c r="I32" i="1"/>
  <c r="K32" i="1"/>
  <c r="J32" i="1"/>
  <c r="O32" i="1" s="1"/>
  <c r="R31" i="1"/>
  <c r="I31" i="1"/>
  <c r="K31" i="1"/>
  <c r="J31" i="1"/>
  <c r="O31" i="1" s="1"/>
  <c r="R30" i="1"/>
  <c r="I30" i="1"/>
  <c r="K30" i="1"/>
  <c r="J30" i="1"/>
  <c r="O30" i="1" s="1"/>
  <c r="R29" i="1"/>
  <c r="I29" i="1"/>
  <c r="K29" i="1"/>
  <c r="J29" i="1"/>
  <c r="O29" i="1" s="1"/>
  <c r="R28" i="1"/>
  <c r="I28" i="1"/>
  <c r="K28" i="1"/>
  <c r="J28" i="1"/>
  <c r="O28" i="1" s="1"/>
  <c r="R27" i="1"/>
  <c r="I27" i="1"/>
  <c r="K27" i="1"/>
  <c r="J27" i="1"/>
  <c r="O27" i="1" s="1"/>
  <c r="R26" i="1"/>
  <c r="I26" i="1"/>
  <c r="K26" i="1"/>
  <c r="J26" i="1"/>
  <c r="O26" i="1" s="1"/>
  <c r="R25" i="1"/>
  <c r="I25" i="1"/>
  <c r="K25" i="1"/>
  <c r="J25" i="1"/>
  <c r="O25" i="1" s="1"/>
  <c r="R24" i="1"/>
  <c r="I24" i="1"/>
  <c r="K24" i="1"/>
  <c r="J24" i="1"/>
  <c r="O24" i="1" s="1"/>
  <c r="R23" i="1"/>
  <c r="I23" i="1"/>
  <c r="K23" i="1"/>
  <c r="J23" i="1"/>
  <c r="O23" i="1" s="1"/>
  <c r="R22" i="1"/>
  <c r="I22" i="1"/>
  <c r="K22" i="1"/>
  <c r="J22" i="1"/>
  <c r="O22" i="1" s="1"/>
  <c r="R21" i="1"/>
  <c r="I21" i="1"/>
  <c r="K21" i="1"/>
  <c r="J21" i="1"/>
  <c r="O21" i="1" s="1"/>
  <c r="R20" i="1"/>
  <c r="I20" i="1"/>
  <c r="K20" i="1"/>
  <c r="J20" i="1"/>
  <c r="O20" i="1" s="1"/>
  <c r="R19" i="1"/>
  <c r="I19" i="1"/>
  <c r="K19" i="1"/>
  <c r="J19" i="1"/>
  <c r="O19" i="1" s="1"/>
  <c r="R18" i="1"/>
  <c r="I18" i="1"/>
  <c r="K18" i="1"/>
  <c r="J18" i="1"/>
  <c r="O18" i="1" s="1"/>
  <c r="R17" i="1"/>
  <c r="I17" i="1"/>
  <c r="K17" i="1"/>
  <c r="J17" i="1"/>
  <c r="O17" i="1" s="1"/>
  <c r="R16" i="1"/>
  <c r="I16" i="1"/>
  <c r="K16" i="1"/>
  <c r="J16" i="1"/>
  <c r="O16" i="1" s="1"/>
  <c r="R15" i="1"/>
  <c r="I15" i="1"/>
  <c r="K15" i="1"/>
  <c r="J15" i="1"/>
  <c r="O15" i="1" s="1"/>
  <c r="R14" i="1"/>
  <c r="I14" i="1"/>
  <c r="K14" i="1"/>
  <c r="J14" i="1"/>
  <c r="O14" i="1" s="1"/>
  <c r="R13" i="1"/>
  <c r="I13" i="1"/>
  <c r="K13" i="1"/>
  <c r="J13" i="1"/>
  <c r="O13" i="1" s="1"/>
  <c r="R12" i="1"/>
  <c r="I12" i="1"/>
  <c r="K12" i="1"/>
  <c r="J12" i="1"/>
  <c r="O12" i="1" s="1"/>
  <c r="R11" i="1"/>
  <c r="I11" i="1"/>
  <c r="K11" i="1"/>
  <c r="J11" i="1"/>
  <c r="O11" i="1" s="1"/>
  <c r="R10" i="1"/>
  <c r="I10" i="1"/>
  <c r="K10" i="1"/>
  <c r="J10" i="1"/>
  <c r="O10" i="1" s="1"/>
  <c r="R9" i="1"/>
  <c r="I9" i="1"/>
  <c r="K9" i="1"/>
  <c r="J9" i="1"/>
  <c r="O9" i="1" s="1"/>
  <c r="R8" i="1"/>
  <c r="I8" i="1"/>
  <c r="K8" i="1"/>
  <c r="J8" i="1"/>
  <c r="O8" i="1" s="1"/>
  <c r="R7" i="1"/>
  <c r="I7" i="1"/>
  <c r="K7" i="1"/>
  <c r="J7" i="1"/>
  <c r="O7" i="1" s="1"/>
  <c r="R6" i="1"/>
  <c r="I6" i="1"/>
  <c r="K6" i="1"/>
  <c r="J6" i="1"/>
  <c r="O6" i="1" s="1"/>
  <c r="R5" i="1"/>
  <c r="I5" i="1"/>
  <c r="K5" i="1"/>
  <c r="J5" i="1"/>
  <c r="O5" i="1" s="1"/>
  <c r="R4" i="1"/>
  <c r="I4" i="1"/>
  <c r="K4" i="1"/>
  <c r="J4" i="1"/>
  <c r="O4" i="1" s="1"/>
  <c r="R3" i="1"/>
  <c r="I3" i="1"/>
  <c r="K3" i="1"/>
  <c r="J3" i="1"/>
  <c r="O3" i="1" s="1"/>
  <c r="R2" i="1"/>
  <c r="I2" i="1"/>
  <c r="K2" i="1"/>
  <c r="J2" i="1"/>
  <c r="O2" i="1" s="1"/>
</calcChain>
</file>

<file path=xl/sharedStrings.xml><?xml version="1.0" encoding="utf-8"?>
<sst xmlns="http://schemas.openxmlformats.org/spreadsheetml/2006/main" count="390" uniqueCount="233">
  <si>
    <t>Sr.No</t>
  </si>
  <si>
    <t>Concern ID</t>
  </si>
  <si>
    <t>Concern</t>
  </si>
  <si>
    <t>Type</t>
  </si>
  <si>
    <t>Root Cause</t>
  </si>
  <si>
    <t>Action Plan</t>
  </si>
  <si>
    <t>Target Date</t>
  </si>
  <si>
    <t>Closure Date</t>
  </si>
  <si>
    <t>RYG</t>
  </si>
  <si>
    <t>Attri.</t>
  </si>
  <si>
    <t>Comm</t>
  </si>
  <si>
    <t>Line</t>
  </si>
  <si>
    <t>Stage No</t>
  </si>
  <si>
    <t>Z/E</t>
  </si>
  <si>
    <t>ATTRIBUTION</t>
  </si>
  <si>
    <t>Part</t>
  </si>
  <si>
    <t>Phenomena</t>
  </si>
  <si>
    <t>Total Incidenes</t>
  </si>
  <si>
    <t>Field defect after cut off</t>
  </si>
  <si>
    <t>Status
(3 Month basis)</t>
  </si>
  <si>
    <t>XUV3XO_3</t>
  </si>
  <si>
    <t>Vehicle reported to us with complaint of Engine Crank but does not start- Replace Compartment Harness</t>
  </si>
  <si>
    <t>WH</t>
  </si>
  <si>
    <t>F22-Engine vibration &amp; OBD Lamp ON:- 
Foreign particle trapped between injector and connector terminal
F23-AMT TCU connector wiring rub with battery trey</t>
  </si>
  <si>
    <t xml:space="preserve">1.To avoid incorrect sequence fitment of connector, marking on wiring harness to be started
-To avoid foreign particle inside injector connector area, check point and marking added at MHEPL 
2.Cot tube added on AMT TCU branch </t>
  </si>
  <si>
    <t>Trim 1</t>
  </si>
  <si>
    <t>T1-05</t>
  </si>
  <si>
    <t>Z</t>
  </si>
  <si>
    <t>Compartment Wiring</t>
  </si>
  <si>
    <t>Failure</t>
  </si>
  <si>
    <t>G</t>
  </si>
  <si>
    <t>XUV3XO_247</t>
  </si>
  <si>
    <t xml:space="preserve">Airbag lamp continuously ON In cluster </t>
  </si>
  <si>
    <t xml:space="preserve">Supplier Process issue </t>
  </si>
  <si>
    <t>Trim 2</t>
  </si>
  <si>
    <t>T2-01</t>
  </si>
  <si>
    <t>Cluster</t>
  </si>
  <si>
    <t>Airbag lamp on</t>
  </si>
  <si>
    <t>XUV3XO_18</t>
  </si>
  <si>
    <t>Vehicle not starting - Extra bolt found stuck inside flex Plate and AT assembly 
Vehicle not starting - Starter Motor fusible link burnt</t>
  </si>
  <si>
    <t xml:space="preserve">AT transmission flex plate bolt got trapped inside leads to flywheel jam </t>
  </si>
  <si>
    <t xml:space="preserve">ICA- 1. Transmission stock checked - 28Nos - All found OK - Nilesh 
2. DRF given to stage associate  
PCA- 
1. Flex plate removed bolt collector tray implemented 
2. Metal cap added on transmission </t>
  </si>
  <si>
    <t>Engine Prep. 1</t>
  </si>
  <si>
    <t>FA-01</t>
  </si>
  <si>
    <t>Extra Bolt</t>
  </si>
  <si>
    <t>Trapped</t>
  </si>
  <si>
    <t>XUV3XO_20</t>
  </si>
  <si>
    <t>Transmission earthing loose, issue resolved after earthing bolt tightening</t>
  </si>
  <si>
    <t>4M Analysis Observations-
1. DC tool not available at stage, No torque traceability &amp; interlock pokayoke available.​
2. Bolt M8 verified on transmission found NOT OK, same bolts verified with gauge also found NOT OK (OK &amp; NOT OK found in same bin – suspected platting variation). ​
3. In 2nd case suspected sleeve trapped inside the bolt head, HST was missing on terminal belt.​</t>
  </si>
  <si>
    <t>ICA – ​
1)  Dispatch hold – vehicle clearance based on yard  check – 413 No.s - Rahul D –closed.​
2)  Earthing threading checking with gauge – 14th Jun –  Keshav ​
3) Earthing terminal HST position checking started – ​ 14th Jun – Keshav​
PCA -​
1) Electrical DC tool implemented – Rahul D ​
     14th Jun –– Closed,  Cut off Z405473​
2) Re-torquing at buy off with torque wrench – Rahul D ​15th Jun – Closed.​
3) Z stage controls establish - Rahul D ​
     14th Jun –– Closed.​</t>
  </si>
  <si>
    <t>Engine Prep. 2</t>
  </si>
  <si>
    <t>EP-02</t>
  </si>
  <si>
    <t>Earthing</t>
  </si>
  <si>
    <t>Loose</t>
  </si>
  <si>
    <t>XUV3XO_426</t>
  </si>
  <si>
    <t>Abnormal noise in idle condition ,vehicle driven only 1700km- Flex plate crack</t>
  </si>
  <si>
    <t>Flex plate - Found bolt over torque.</t>
  </si>
  <si>
    <t xml:space="preserve"> At GEMBA - 1. Specified tool set for 45 NM is used for final tightening.
2. Tool Max range is 60NM torque at 120 RPM.
3. Tool has undergone torque audit by MQA person on the same day (26.08.25) in 2nd shift &amp; values are observed within range.
4. AT INdexing sticker - 6 bolts tightening OK available on history card.
5. No other tool with more than 45NM are available within range of Flex plate final tightening.</t>
  </si>
  <si>
    <t>Flex Plate</t>
  </si>
  <si>
    <t>Cracked</t>
  </si>
  <si>
    <t>XUV3XO_323</t>
  </si>
  <si>
    <t>OBD Lamp ON - Intake manifold hose connector broken</t>
  </si>
  <si>
    <t>USV</t>
  </si>
  <si>
    <t>U/B</t>
  </si>
  <si>
    <t>UB-03</t>
  </si>
  <si>
    <t>Intake manifold</t>
  </si>
  <si>
    <t>Connector broken</t>
  </si>
  <si>
    <t>XUV3XO_47</t>
  </si>
  <si>
    <t>Vehicle no start, battery failure</t>
  </si>
  <si>
    <t xml:space="preserve">under analysis </t>
  </si>
  <si>
    <t>Final</t>
  </si>
  <si>
    <t>FL-02</t>
  </si>
  <si>
    <t>Battery</t>
  </si>
  <si>
    <t>R</t>
  </si>
  <si>
    <t>XUV3XO_339</t>
  </si>
  <si>
    <t>Rail roof came out from rear end - LH</t>
  </si>
  <si>
    <t>T1-01</t>
  </si>
  <si>
    <t>Roof rail</t>
  </si>
  <si>
    <t>Came out</t>
  </si>
  <si>
    <t>XUV3XO_425</t>
  </si>
  <si>
    <t xml:space="preserve">ABS, ESP, Hill Hold and Hill descent On cluster meter and ODO meter reading not increased and Engine not shutoff (Excess sticker glue material observed on earthing surface)
</t>
  </si>
  <si>
    <t>Excess sticker glue material observed on earthing surface</t>
  </si>
  <si>
    <t>Action - Stud to be provided instead of nut design</t>
  </si>
  <si>
    <t>ODO not increasing</t>
  </si>
  <si>
    <t>XUV3XO_329</t>
  </si>
  <si>
    <t>Rattle Noise come from Headliner assembly area at rough road around(Roof Velcro not locked fully)</t>
  </si>
  <si>
    <t>Headliner is not properly fitted leads to sagging &amp; rattling of headliner with sunroof frame.
Concern resolved after pushing headliner from inside and velcro fitted properly at both sides.</t>
  </si>
  <si>
    <t xml:space="preserve">ICA- 1. DRF given to stage associate for velcro locking
2.  Awareness given about locking point on headliner.
PCA- 1.  Additional pressing joint added at stage
2. Detection point added at final line  </t>
  </si>
  <si>
    <t>Headliner</t>
  </si>
  <si>
    <t>Rattle noise</t>
  </si>
  <si>
    <t>XUV3XO_239</t>
  </si>
  <si>
    <t>RPM and Speedo meter needle flickering with multiple tell tale - Intermittent
(wire cut - A-pillar bottom) - Cockpit</t>
  </si>
  <si>
    <t>T2-02</t>
  </si>
  <si>
    <t>Needle flickering</t>
  </si>
  <si>
    <t>XUV3XO_295</t>
  </si>
  <si>
    <r>
      <t xml:space="preserve">Driver Seat Belt Stuck- </t>
    </r>
    <r>
      <rPr>
        <b/>
        <i/>
        <sz val="16"/>
        <color theme="1"/>
        <rFont val="Aptos Narrow"/>
        <family val="2"/>
        <scheme val="minor"/>
      </rPr>
      <t xml:space="preserve">Bolt inside </t>
    </r>
  </si>
  <si>
    <t xml:space="preserve">B-pillar mtg screw got stuck inside the belt </t>
  </si>
  <si>
    <t>ICA- 
1.DRF given to all the stage associates to ensure screw to be removed if fallen while assly.
2. Dispatch hold - yard check done all found OK
PCA- 
1.Magnetic screw bit provided to avoid the screw fallen while fitment</t>
  </si>
  <si>
    <t>T2-04</t>
  </si>
  <si>
    <t>Seat belt</t>
  </si>
  <si>
    <t>Stuck</t>
  </si>
  <si>
    <t>XUV3XO_10</t>
  </si>
  <si>
    <t>Vehicle not moving and the gear selection mode showing only  "N"</t>
  </si>
  <si>
    <t>Gear shifter to Gear shifter cable attachment "Q" pin fitment improper</t>
  </si>
  <si>
    <t xml:space="preserve">ICA- 1. DRF given to stage associate
2. Additional Yellow marking started at Buyoff
PCA- 
1. AI based image processing system deployed at stage with sticker
2. OK sticker checking process start at D2D conveyor </t>
  </si>
  <si>
    <t>T2-05</t>
  </si>
  <si>
    <t>Q pin</t>
  </si>
  <si>
    <t>Improper fitment</t>
  </si>
  <si>
    <t>XUV3XO_328</t>
  </si>
  <si>
    <r>
      <t xml:space="preserve">ORVM power fold function not working- </t>
    </r>
    <r>
      <rPr>
        <b/>
        <i/>
        <sz val="16"/>
        <color theme="1"/>
        <rFont val="Aptos Narrow"/>
        <family val="2"/>
        <scheme val="minor"/>
      </rPr>
      <t xml:space="preserve">Part wrong </t>
    </r>
  </si>
  <si>
    <t>Manual folding ORVM assembled - Wrong part fitment in TCF
Tracebility sticker found NOK 
Vehicle skip from buyoff</t>
  </si>
  <si>
    <t xml:space="preserve">ICA-
1. DRF given to checkman 
PCA- Sticker checking  process added at SIW and buyoff </t>
  </si>
  <si>
    <t>ORVM</t>
  </si>
  <si>
    <t>not folding</t>
  </si>
  <si>
    <t>XUV3XO_125</t>
  </si>
  <si>
    <t>AC not cooling, no AC gas in system</t>
  </si>
  <si>
    <t>Suspected O-ring damage during fitment - Misalignment during hose insertion in TXV</t>
  </si>
  <si>
    <t xml:space="preserve">1. DRF given to stage associates to ensure correct alignment while pipe insertion
PCA- 
1. Pick to light Poka-Yoke added for oil application on O-ring before fitment -  12.07.24
2. Double O- ring AC pipe trial done (FTR Found OK)- Under implementation </t>
  </si>
  <si>
    <t>T2-08</t>
  </si>
  <si>
    <t>O'ring</t>
  </si>
  <si>
    <t>Cut</t>
  </si>
  <si>
    <t>XUV3XO_299</t>
  </si>
  <si>
    <t>Water leak from windshield glass</t>
  </si>
  <si>
    <t>Windshiled area water leakage observed due to sealer path discturbed during fitment on BIW
or
Leak observed from top side center area (Near IRVM Mtg)
Glass opened and found sealent miss on center top area (above IRVM bracket)</t>
  </si>
  <si>
    <t>ICA- 
1. DRF given to all stage associates.- 03/09/2024
PCA- 
New robot implemented better consistency for sealer dimension and path 
Budget approval to be given</t>
  </si>
  <si>
    <t>T2-09</t>
  </si>
  <si>
    <t>Windshield</t>
  </si>
  <si>
    <t>Leak</t>
  </si>
  <si>
    <t>XUV3XO_199</t>
  </si>
  <si>
    <r>
      <t>AC not working - Leakage from Suction hose-</t>
    </r>
    <r>
      <rPr>
        <b/>
        <i/>
        <sz val="16"/>
        <color theme="1"/>
        <rFont val="Aptos Narrow"/>
        <family val="2"/>
        <scheme val="minor"/>
      </rPr>
      <t xml:space="preserve"> Nut missing </t>
    </r>
  </si>
  <si>
    <t>Assy process walk thorugh done, basic hygine points in place - Oil application on O-ring, Handling of pipe, presence cap on O-ring, etc.</t>
  </si>
  <si>
    <t xml:space="preserve">ICA-
 Lint free hand gloves implemented to avoid lint trap between O-ring – 22-May-24
DRF given to all AC pipe fitment associates for key points related to process – Oil application on O-ring, availability of protective caps, alignment of pipe during fitment, etc. – 28-May-24
Check point added in daily field sustenance audit and supervisory check sheet – 28-May-24
PCA- 
1. Pick to light Poka-Yoke added for oil application on O-ring before fitment -  12.07.24
2. Double O- ring AC pipe trial done (FTR Found OK)- Under implementation </t>
  </si>
  <si>
    <t>Suction hose</t>
  </si>
  <si>
    <t>XUV3XO_227</t>
  </si>
  <si>
    <t>Exhaust gas leakage from EATS V clamp</t>
  </si>
  <si>
    <t>1. Exhaust gas leakage from gasket joint due to inproper sealing (compression)
2. SDPF part assly braket position NOK.
3. Design inadquite</t>
  </si>
  <si>
    <t>ICA- 1. SDPF part storage position change to avoid braket bend 
PCA – 1)  SDPF part assly braket position NOK - Welding and  checking fixture corrected at Tenneco end – 15 Jun 24 
2) Locating pin provided for better alignment between Turbo Flange &amp; Exhaust ( Reduce impact of Weight. This ensures better compression of gasket)-</t>
  </si>
  <si>
    <t>FA-02</t>
  </si>
  <si>
    <t>Exhuast V clamp</t>
  </si>
  <si>
    <t>XUV3XO_375</t>
  </si>
  <si>
    <t>Starter Motor Failure</t>
  </si>
  <si>
    <t>Starter Motor</t>
  </si>
  <si>
    <t>XUV3XO_242</t>
  </si>
  <si>
    <t>OBD Lamp ON - Purge vent line loose fitted</t>
  </si>
  <si>
    <t xml:space="preserve">Purge vent line joint(QFC) poor lock </t>
  </si>
  <si>
    <t>ICA- 1. DRF given to stage associate and buyoff checkman.
PCA- 1. Additional buy off checking by push pull method</t>
  </si>
  <si>
    <t>Purge vent</t>
  </si>
  <si>
    <t>XUV3XO_28</t>
  </si>
  <si>
    <r>
      <t xml:space="preserve">Abnormal noise from engine compartment-RH engine mount broken- </t>
    </r>
    <r>
      <rPr>
        <b/>
        <i/>
        <sz val="16"/>
        <color theme="1"/>
        <rFont val="Aptos Narrow"/>
        <family val="2"/>
        <scheme val="minor"/>
      </rPr>
      <t>Bolt trapped</t>
    </r>
  </si>
  <si>
    <t>Extra bolt trapped at RH Mount</t>
  </si>
  <si>
    <t>Block implemented to avoid extera bolt trapping</t>
  </si>
  <si>
    <t>UB-04</t>
  </si>
  <si>
    <t>XUV3XO_68</t>
  </si>
  <si>
    <r>
      <t xml:space="preserve">Noise from rear RH wheel while driving, wheel rim balancing weight touching to brake hose- </t>
    </r>
    <r>
      <rPr>
        <b/>
        <i/>
        <sz val="16"/>
        <color theme="1"/>
        <rFont val="Aptos Narrow"/>
        <family val="2"/>
        <scheme val="minor"/>
      </rPr>
      <t>Hose wrong</t>
    </r>
  </si>
  <si>
    <t>UB-06</t>
  </si>
  <si>
    <t>Brake hose</t>
  </si>
  <si>
    <t>Wrong routine</t>
  </si>
  <si>
    <t>XUV3XO_282</t>
  </si>
  <si>
    <t>Cracking sound from LH front speaker - Diaphram Damage</t>
  </si>
  <si>
    <t>Speaker dust cap observed deformed</t>
  </si>
  <si>
    <t>ICA- 1. DRF given to stage associate and SCM person to check speaker during handling or fitment 
2. Stock part checked 240 Nos. found OK 
PCA- 1. Additional checkpoint is added at Underbody Buyoff</t>
  </si>
  <si>
    <t>UB-09</t>
  </si>
  <si>
    <t>Speaker</t>
  </si>
  <si>
    <t>Cracking sound</t>
  </si>
  <si>
    <t>XUV3XO_234</t>
  </si>
  <si>
    <t>Vehicle not starting - Alternator fuse nut loose</t>
  </si>
  <si>
    <t>New Line</t>
  </si>
  <si>
    <t>NL-01</t>
  </si>
  <si>
    <t>Alternator fuse nut</t>
  </si>
  <si>
    <t>XUV3XO_281</t>
  </si>
  <si>
    <t>Wireless charger not working- Interface</t>
  </si>
  <si>
    <t>Due to electric overstress</t>
  </si>
  <si>
    <t>NL-02</t>
  </si>
  <si>
    <t>Wireless Charger</t>
  </si>
  <si>
    <t>Not working</t>
  </si>
  <si>
    <t>XUV3XO_269</t>
  </si>
  <si>
    <t>RPAS not working – Left sensor shows “Error”
or 
Dry soldering observed at Piezo wire &amp; housing terminal of transducer cell _ Manual operation</t>
  </si>
  <si>
    <t>Robust controls available at supplier - 
Auto stacking press based fuse pressing at sub-assembly station followed by vision based camera system.
use No. 21 (MBFM) found loose, after remove-refit found OK. No any photo/video evidence captured
No inhouse rework history, concern under monitoring.</t>
  </si>
  <si>
    <t>100% fuse box verification started at IAC for the no loose fuse.</t>
  </si>
  <si>
    <t>NL-03</t>
  </si>
  <si>
    <t>RPAS</t>
  </si>
  <si>
    <t>XUV3XO_319</t>
  </si>
  <si>
    <t>Whistling noise from engine compartment - Intercooler hose poor fit at Turbocharger end</t>
  </si>
  <si>
    <t>Position of the clamp was behind the intended position (outside the spigot) – manual error from stage associate</t>
  </si>
  <si>
    <t xml:space="preserve">Yellow paint marker match marking started to ensure the correct position of clamp on hose. </t>
  </si>
  <si>
    <t>NL-04</t>
  </si>
  <si>
    <t>Intercooler hose</t>
  </si>
  <si>
    <t>Poor fit</t>
  </si>
  <si>
    <t>XUV3XO_313</t>
  </si>
  <si>
    <t>Rear RH door trim pad wrong</t>
  </si>
  <si>
    <t>Analysis –
- Part received in sequence trolley. Wrong part feeding by logistic person in sequence trolley which got assembled on line. Detection skipped from buyoff check.
- Vehicle rolled in 1st shift at 08:50AM (Door trim pad fitment in 3rd shift at 06:50AM)</t>
  </si>
  <si>
    <t>PCA – 
Check point added in variant management (Diversity check through mobile based App) at two stages (Model Verification &amp; CSC Static)– 20th Aug’24
Barcode based traceability scanning to be implemented – Target Date : 5th Sep’24</t>
  </si>
  <si>
    <t>Trim pad</t>
  </si>
  <si>
    <t>Wrong</t>
  </si>
  <si>
    <t>XUV3XO_249</t>
  </si>
  <si>
    <t>Steering Hard with EPS Lamp ON</t>
  </si>
  <si>
    <t>Trim 3</t>
  </si>
  <si>
    <t>T3-04</t>
  </si>
  <si>
    <t>Steering</t>
  </si>
  <si>
    <t>Hard</t>
  </si>
  <si>
    <t>XUV3XO_406</t>
  </si>
  <si>
    <t>Radiator leakage due to extra bolt trapped</t>
  </si>
  <si>
    <t>FEM</t>
  </si>
  <si>
    <t>FA-03</t>
  </si>
  <si>
    <t>XUV3XO_303</t>
  </si>
  <si>
    <t>Wrong color front bumper</t>
  </si>
  <si>
    <t>Observation- 
Front bumper comes sequence from Supplier end.
Fitment happen at New line 
For this vehicle no bumper related rework was done.
No shortage was reported.
Analysis :    
Wrong part come in sequence got assembled on line.
No any pokayoke available at line for correct part fitment - only visual controls.
This vehicle was mfg on 04-Aug-24 in 3rd Shift @ 2.45 am – Not detected at line buy off.
Down stream checks available in CSC (04-Aug-24 in 3rd Shift @ 5.09 am)  and online LSP (04-Aug-24 in 3rd Shift @ 6.45 am)  – Not got detected.
Potential Causes : 
Black &amp; Bebula blue Front bumper colors looks matching with each other, however it is detectable visually.
No any separate visual identification or sequence error proofing is available to avoid the wrong part fitment.</t>
  </si>
  <si>
    <t>1. DRF given to all stage associates &amp; detection check man – 20.08.24 – Closed.
2. Identification sticker to be implement for Nebula blue colour Bumpers – will be cross checked at buy off &amp; CSC checks – 21.08.24 – (Trial OK). 
3. Additional check point to be added in variant management – Mobile App base checking – 22.08.24.</t>
  </si>
  <si>
    <t>Front Bumper</t>
  </si>
  <si>
    <t>XUV3XO_250</t>
  </si>
  <si>
    <t xml:space="preserve">Tyre Wrong - Different tyre make fixed on LH side both MRF &amp; RH side both Apollo Tyre </t>
  </si>
  <si>
    <t>Wrong material feed by SCM associate (controls bypass) which was not detected in line checks (manual).</t>
  </si>
  <si>
    <t>ICA- 
1. DRF given to SCM &amp; Stage associate, Dispatch hold vehicle cleared on base of yard check
PCA-
1. Tyre make confirmation pokayoke to be implement – 2nd JULY
2. Scanning data confirmation MIS to be start - 3rd Jul</t>
  </si>
  <si>
    <t>T3-05</t>
  </si>
  <si>
    <t>Tyre</t>
  </si>
  <si>
    <t>XUV3XO_427</t>
  </si>
  <si>
    <t xml:space="preserve">Noise from A pillar top due to glass fouling </t>
  </si>
  <si>
    <t xml:space="preserve">Glass fouling to BIW A pillar Top </t>
  </si>
  <si>
    <t>1.Visual checkpoint added at CSC buyoff
2.Visual checkpoint added at Buyoff
3.Z Position of Glass locator is shifted towards downwards by 0.5 mm in the spec mean to lower spec .
At BIW – Gauge Implemented which takes care of ​
4.Maintaining max gap of 5 MM between Glass edge after fitment to BIW A Panel ​</t>
  </si>
  <si>
    <t xml:space="preserve">22-12-2025
22-12-2025
22-12-2025
</t>
  </si>
  <si>
    <t>Trim2</t>
  </si>
  <si>
    <t>Noise</t>
  </si>
  <si>
    <t>XUV3XO_428</t>
  </si>
  <si>
    <t>Underbody nosie due K frame mounting sleeve crack in BIW</t>
  </si>
  <si>
    <t>Trader /Supplier End Raw Material Not Ok Bar Mixed Up with Ok bars.​
 (Silica sludge observed &amp; Microstructure found NOK ​
(Required Fine 5-8, observed coarse 1-2)</t>
  </si>
  <si>
    <t>ICA-
1-100% Ultrasonic testing of RM Bar started- 16.10.2025 
2- 3rd party MPI Inspection Before Welding of Sleeve started with W engraving -27-10-25G ​
PCA:
1. Every lot 3rd Party RM inspection started – 05.11.2025 G ​
2.RM supplier/Trader changed from Prashant to Nutech Trader - 05.11.2025 G​</t>
  </si>
  <si>
    <t>K frame mtg sleeve</t>
  </si>
  <si>
    <t>XUV3XO_25</t>
  </si>
  <si>
    <t>OBD lamp ON and pick up loss, Turbocharger inlet hose cracked</t>
  </si>
  <si>
    <t xml:space="preserve">Intake air sysytem leak air observed from intake manifold, breather hose tube broken on intake manifold during engine decking </t>
  </si>
  <si>
    <t>ICA- 1. Opl given to stage associate
2. Additional checkpoint started at underbody buyoff stage 
PCA - 1. Protective fixture implemented to avoid damage during engine decking.</t>
  </si>
  <si>
    <t>Turbocharger hose</t>
  </si>
  <si>
    <t>Crack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</si>
</sst>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mm\-yy;@"/>
  </numFmts>
  <fonts count="9">
    <font>
      <sz val="11"/>
      <color theme="1"/>
      <name val="Aptos Narrow"/>
      <family val="2"/>
      <scheme val="minor"/>
    </font>
    <font>
      <b/>
      <sz val="11"/>
      <color theme="0"/>
      <name val="Aptos Narrow"/>
      <family val="2"/>
      <scheme val="minor"/>
    </font>
    <font>
      <b/>
      <sz val="14"/>
      <color theme="1"/>
      <name val="Aptos Narrow"/>
      <family val="2"/>
      <scheme val="minor"/>
    </font>
    <font>
      <b/>
      <sz val="14"/>
      <name val="Aptos Narrow"/>
      <family val="2"/>
      <scheme val="minor"/>
    </font>
    <font>
      <b/>
      <sz val="16"/>
      <name val="Aptos Narrow"/>
      <family val="2"/>
      <scheme val="minor"/>
    </font>
    <font>
      <b/>
      <sz val="16"/>
      <color theme="1"/>
      <name val="Aptos Narrow"/>
      <family val="2"/>
      <scheme val="minor"/>
    </font>
    <font>
      <b/>
      <i/>
      <sz val="16"/>
      <color theme="1"/>
      <name val="Aptos Narrow"/>
      <family val="2"/>
      <scheme val="minor"/>
    </font>
    <font>
      <sz val="12"/>
      <color theme="1"/>
      <name val="Aptos Narrow"/>
      <family val="2"/>
      <scheme val="minor"/>
    </font>
    <font>
      <sz val="12"/>
      <name val="Aptos Narrow"/>
      <family val="2"/>
      <scheme val="minor"/>
    </font>
  </fonts>
  <fills count="8">
    <fill>
      <patternFill patternType="none"/>
    </fill>
    <fill>
      <patternFill patternType="gray125"/>
    </fill>
    <fill>
      <patternFill patternType="solid">
        <fgColor theme="5" tint="0.79998168889431442"/>
        <bgColor indexed="64"/>
      </patternFill>
    </fill>
    <fill>
      <patternFill patternType="solid">
        <fgColor theme="6" tint="0.59999389629810485"/>
        <bgColor indexed="64"/>
      </patternFill>
    </fill>
    <fill>
      <patternFill patternType="solid">
        <fgColor theme="3" tint="0.79998168889431442"/>
        <bgColor indexed="64"/>
      </patternFill>
    </fill>
    <fill>
      <patternFill patternType="solid">
        <fgColor theme="7" tint="0.59999389629810485"/>
        <bgColor indexed="64"/>
      </patternFill>
    </fill>
    <fill>
      <patternFill patternType="solid">
        <fgColor rgb="FFFFFF00"/>
        <bgColor indexed="64"/>
      </patternFill>
    </fill>
    <fill>
      <patternFill patternType="solid">
        <fgColor rgb="FF002060"/>
        <bgColor indexed="64"/>
      </patternFill>
    </fill>
  </fills>
  <borders count="15">
    <border>
      <left/>
      <right/>
      <top/>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rgb="FF000000"/>
      </right>
      <top style="thin">
        <color rgb="FF000000"/>
      </top>
      <bottom style="thin">
        <color rgb="FF000000"/>
      </bottom>
      <diagonal/>
    </border>
    <border>
      <left style="medium">
        <color indexed="64"/>
      </left>
      <right style="medium">
        <color indexed="64"/>
      </right>
      <top style="medium">
        <color indexed="64"/>
      </top>
      <bottom style="thin">
        <color indexed="64"/>
      </bottom>
      <diagonal/>
    </border>
  </borders>
  <cellStyleXfs count="1">
    <xf numFmtId="0" fontId="0" fillId="0" borderId="0"/>
  </cellStyleXfs>
  <cellXfs count="30">
    <xf numFmtId="0" fontId="0" fillId="0" borderId="0" xfId="0"/>
    <xf numFmtId="0" fontId="3" fillId="5" borderId="4" xfId="0" applyFont="1" applyFill="1" applyBorder="1" applyAlignment="1">
      <alignment horizontal="center" vertical="center"/>
    </xf>
    <xf numFmtId="0" fontId="3" fillId="5" borderId="2" xfId="0" applyFont="1" applyFill="1" applyBorder="1" applyAlignment="1">
      <alignment horizontal="center" vertical="center" wrapText="1"/>
    </xf>
    <xf numFmtId="0" fontId="3" fillId="5" borderId="5" xfId="0" applyFont="1" applyFill="1" applyBorder="1" applyAlignment="1">
      <alignment horizontal="center" vertical="center"/>
    </xf>
    <xf numFmtId="0" fontId="3" fillId="3" borderId="5" xfId="0" applyFont="1" applyFill="1" applyBorder="1" applyAlignment="1">
      <alignment horizontal="center" vertical="center"/>
    </xf>
    <xf numFmtId="0" fontId="3" fillId="5" borderId="5" xfId="0" applyFont="1" applyFill="1" applyBorder="1" applyAlignment="1">
      <alignment horizontal="center" vertical="center" wrapText="1"/>
    </xf>
    <xf numFmtId="0" fontId="3" fillId="5" borderId="6"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2" borderId="4" xfId="0" applyFont="1" applyFill="1" applyBorder="1" applyAlignment="1">
      <alignment horizontal="center" vertical="center" wrapText="1"/>
    </xf>
    <xf numFmtId="164" fontId="3" fillId="2" borderId="5" xfId="0" applyNumberFormat="1" applyFont="1" applyFill="1" applyBorder="1" applyAlignment="1">
      <alignment horizontal="center" vertical="center" textRotation="90"/>
    </xf>
    <xf numFmtId="164" fontId="3" fillId="2" borderId="1" xfId="0" applyNumberFormat="1" applyFont="1" applyFill="1" applyBorder="1" applyAlignment="1">
      <alignment horizontal="center" vertical="center" textRotation="90"/>
    </xf>
    <xf numFmtId="0" fontId="3" fillId="4" borderId="7" xfId="0" applyFont="1" applyFill="1" applyBorder="1" applyAlignment="1">
      <alignment vertical="center" wrapText="1"/>
    </xf>
    <xf numFmtId="0" fontId="2" fillId="5" borderId="8" xfId="0" applyFont="1" applyFill="1" applyBorder="1" applyAlignment="1">
      <alignment vertical="center" wrapText="1"/>
    </xf>
    <xf numFmtId="0" fontId="0" fillId="0" borderId="0" xfId="0" applyAlignment="1">
      <alignment vertical="center"/>
    </xf>
    <xf numFmtId="0" fontId="4" fillId="0" borderId="9" xfId="0" applyFont="1" applyBorder="1" applyAlignment="1">
      <alignment horizontal="center" vertical="center"/>
    </xf>
    <xf numFmtId="0" fontId="4" fillId="0" borderId="10" xfId="0" applyFont="1" applyBorder="1" applyAlignment="1">
      <alignment horizontal="center" vertical="center" wrapText="1"/>
    </xf>
    <xf numFmtId="0" fontId="5" fillId="0" borderId="11" xfId="0" applyFont="1" applyBorder="1" applyAlignment="1">
      <alignment horizontal="left" vertical="center" wrapText="1" readingOrder="1"/>
    </xf>
    <xf numFmtId="0" fontId="4" fillId="0" borderId="11" xfId="0" applyFont="1" applyBorder="1" applyAlignment="1">
      <alignment horizontal="center" vertical="center" wrapText="1"/>
    </xf>
    <xf numFmtId="0" fontId="5" fillId="0" borderId="11" xfId="0" applyFont="1" applyBorder="1" applyAlignment="1">
      <alignment horizontal="center" vertical="center" wrapText="1"/>
    </xf>
    <xf numFmtId="0" fontId="5" fillId="0" borderId="12" xfId="0" applyFont="1" applyBorder="1" applyAlignment="1">
      <alignment horizontal="center" vertical="center" wrapText="1"/>
    </xf>
    <xf numFmtId="0" fontId="5" fillId="6" borderId="11" xfId="0" applyFont="1" applyFill="1" applyBorder="1" applyAlignment="1">
      <alignment horizontal="center" vertical="center"/>
    </xf>
    <xf numFmtId="0" fontId="5" fillId="6" borderId="3" xfId="0" applyFont="1" applyFill="1" applyBorder="1" applyAlignment="1">
      <alignment horizontal="center" vertical="center"/>
    </xf>
    <xf numFmtId="0" fontId="2" fillId="0" borderId="13" xfId="0" applyFont="1" applyBorder="1" applyAlignment="1">
      <alignment horizontal="center" vertical="center"/>
    </xf>
    <xf numFmtId="0" fontId="2" fillId="6" borderId="14" xfId="0" applyFont="1" applyFill="1" applyBorder="1" applyAlignment="1">
      <alignment horizontal="center" vertical="center"/>
    </xf>
    <xf numFmtId="0" fontId="1" fillId="7" borderId="11" xfId="0" applyFont="1" applyFill="1" applyBorder="1" applyAlignment="1">
      <alignment horizontal="center" vertical="center" wrapText="1" readingOrder="1"/>
    </xf>
    <xf numFmtId="15" fontId="7" fillId="0" borderId="11" xfId="0" applyNumberFormat="1" applyFont="1" applyBorder="1" applyAlignment="1">
      <alignment horizontal="center" vertical="center" wrapText="1"/>
    </xf>
    <xf numFmtId="0" fontId="8" fillId="0" borderId="11" xfId="0" applyFont="1" applyBorder="1" applyAlignment="1">
      <alignment horizontal="center" vertical="center" wrapText="1"/>
    </xf>
    <xf numFmtId="0" fontId="8" fillId="0" borderId="11" xfId="0" applyFont="1" applyBorder="1" applyAlignment="1">
      <alignment horizontal="left" vertical="center" wrapText="1"/>
    </xf>
  </cellXfs>
  <cellStyles count="1">
    <cellStyle name="Normal" xfId="0" builtinId="0"/>
  </cellStyles>
  <dxfs count="14">
    <dxf>
      <font>
        <color theme="0"/>
      </font>
    </dxf>
    <dxf>
      <fill>
        <patternFill>
          <bgColor rgb="FF00B050"/>
        </patternFill>
      </fill>
    </dxf>
    <dxf>
      <fill>
        <patternFill>
          <bgColor rgb="FFFF0000"/>
        </patternFill>
      </fill>
    </dxf>
    <dxf>
      <fill>
        <patternFill patternType="none">
          <bgColor auto="1"/>
        </patternFill>
      </fill>
    </dxf>
    <dxf>
      <font>
        <color rgb="FF9C0006"/>
      </font>
      <fill>
        <patternFill>
          <bgColor rgb="FFFFC7CE"/>
        </patternFill>
      </fill>
    </dxf>
    <dxf>
      <font>
        <color rgb="FF006100"/>
      </font>
      <fill>
        <patternFill>
          <bgColor rgb="FFC6EFCE"/>
        </patternFill>
      </fill>
    </dxf>
    <dxf>
      <fill>
        <patternFill patternType="none">
          <bgColor auto="1"/>
        </patternFill>
      </fill>
    </dxf>
    <dxf>
      <fill>
        <patternFill>
          <bgColor rgb="FF00B0F0"/>
        </patternFill>
      </fill>
    </dxf>
    <dxf>
      <fill>
        <patternFill>
          <bgColor rgb="FFFFFF00"/>
        </patternFill>
      </fill>
    </dxf>
    <dxf>
      <fill>
        <patternFill>
          <bgColor rgb="FFFF0000"/>
        </patternFill>
      </fill>
    </dxf>
    <dxf>
      <fill>
        <patternFill>
          <bgColor rgb="FF92D050"/>
        </patternFill>
      </fill>
    </dxf>
    <dxf>
      <fill>
        <patternFill>
          <bgColor rgb="FFFFC000"/>
        </patternFill>
      </fill>
    </dxf>
    <dxf>
      <font>
        <color theme="0"/>
      </font>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mahindraonline.sharepoint.com/sites/PQReports/Shared%20Documents/General/35.%20Z%20stage%20Dashboard/Z%20stage%20dashboard_XUV3XO_01.02.26.xlsx" TargetMode="External"/><Relationship Id="rId1" Type="http://schemas.openxmlformats.org/officeDocument/2006/relationships/externalLinkPath" Target="https://mahindraonline.sharepoint.com/sites/PQReports/Shared%20Documents/General/35.%20Z%20stage%20Dashboard/Z%20stage%20dashboard_XUV3XO_01.02.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XTCF Layout"/>
      <sheetName val="F26 Dashboard"/>
      <sheetName val="WS Summary."/>
      <sheetName val="Action Plan XUV3XO"/>
      <sheetName val="Layered Audit Summary"/>
      <sheetName val="Layered Audit March'26"/>
      <sheetName val="Layered Audit Feb'26"/>
      <sheetName val="Layered Audit Jan'26"/>
      <sheetName val="Layered Audit Dec'25 "/>
      <sheetName val="Layered Audit Nov'25"/>
      <sheetName val="Layered Audit Oct'25"/>
      <sheetName val="Layered Audit Sept'25"/>
      <sheetName val="Layered Audit Aug '25"/>
      <sheetName val="Layered Audit Jul'25"/>
      <sheetName val="Layered Audit June'25"/>
      <sheetName val="Layered Audit May'25"/>
      <sheetName val="Layered Audit April'25"/>
      <sheetName val="Workstation numbers"/>
      <sheetName val="Control points -4-10"/>
      <sheetName val="Incoming audit"/>
      <sheetName val="LSP checks"/>
      <sheetName val="HSPPD"/>
    </sheetNames>
    <sheetDataSet>
      <sheetData sheetId="0"/>
      <sheetData sheetId="1"/>
      <sheetData sheetId="2"/>
      <sheetData sheetId="3">
        <row r="1">
          <cell r="A1" t="str">
            <v>Unique ID</v>
          </cell>
          <cell r="B1" t="str">
            <v>Model</v>
          </cell>
          <cell r="C1" t="str">
            <v>Concern No</v>
          </cell>
          <cell r="D1" t="str">
            <v>Display Demo/ Customer</v>
          </cell>
          <cell r="E1" t="str">
            <v>Experienced By</v>
          </cell>
          <cell r="F1" t="str">
            <v>Concern Type</v>
          </cell>
          <cell r="G1" t="str">
            <v>Date of Entry</v>
          </cell>
          <cell r="H1" t="str">
            <v>Concern</v>
          </cell>
          <cell r="I1" t="str">
            <v>Concern Synopsis</v>
          </cell>
          <cell r="J1" t="str">
            <v>Severity</v>
          </cell>
          <cell r="K1" t="str">
            <v>Inc</v>
          </cell>
          <cell r="L1" t="str">
            <v>Root Cause</v>
          </cell>
          <cell r="M1" t="str">
            <v>Action Plan</v>
          </cell>
          <cell r="N1" t="str">
            <v>Closure Date</v>
          </cell>
          <cell r="O1" t="str">
            <v>PCA Ageing</v>
          </cell>
          <cell r="P1" t="str">
            <v>Resp</v>
          </cell>
          <cell r="Q1" t="str">
            <v>System</v>
          </cell>
          <cell r="R1" t="str">
            <v>VIN</v>
          </cell>
          <cell r="S1" t="str">
            <v>RYG</v>
          </cell>
          <cell r="T1" t="str">
            <v>Attribution</v>
          </cell>
        </row>
        <row r="2">
          <cell r="A2" t="str">
            <v>XUV3XO_3</v>
          </cell>
          <cell r="B2" t="str">
            <v>XUV3XO</v>
          </cell>
          <cell r="C2">
            <v>3</v>
          </cell>
          <cell r="D2" t="str">
            <v>Customer</v>
          </cell>
          <cell r="E2" t="str">
            <v>Customer</v>
          </cell>
          <cell r="F2" t="str">
            <v>WH</v>
          </cell>
          <cell r="H2" t="str">
            <v>Vehicle reported to us with complaint of Engine Crank but does not start- Replace Compartment Harness</v>
          </cell>
          <cell r="J2">
            <v>8</v>
          </cell>
          <cell r="K2">
            <v>4</v>
          </cell>
          <cell r="L2" t="str">
            <v>F22-Engine vibration &amp; OBD Lamp ON:- 
Foreign particle trapped between injector and connector terminal
F23-AMT TCU connector wiring rub with battery trey</v>
          </cell>
          <cell r="M2" t="str">
            <v xml:space="preserve">1.To avoid incorrect sequence fitment of connector, marking on wiring harness to be started
-To avoid foreign particle inside injector connector area, check point and marking added at MHEPL 
2.Cot tube added on AMT TCU branch </v>
          </cell>
          <cell r="N2">
            <v>45352</v>
          </cell>
          <cell r="O2">
            <v>45352</v>
          </cell>
          <cell r="Q2" t="str">
            <v>E&amp;E</v>
          </cell>
          <cell r="R2" t="str">
            <v>S2C13880
R2M63659
S2C17283
S2C11739</v>
          </cell>
          <cell r="S2" t="str">
            <v>G</v>
          </cell>
          <cell r="T2" t="str">
            <v>Supplier Process</v>
          </cell>
        </row>
        <row r="3">
          <cell r="A3" t="str">
            <v>XUV3XO_10</v>
          </cell>
          <cell r="B3" t="str">
            <v>XUV3XO</v>
          </cell>
          <cell r="C3">
            <v>10</v>
          </cell>
          <cell r="D3" t="str">
            <v>Customer</v>
          </cell>
          <cell r="E3" t="str">
            <v>Customer</v>
          </cell>
          <cell r="F3" t="str">
            <v>WH</v>
          </cell>
          <cell r="G3">
            <v>45549</v>
          </cell>
          <cell r="H3" t="str">
            <v>Vehicle not moving and the gear selection mode showing only  "N"</v>
          </cell>
          <cell r="J3">
            <v>8</v>
          </cell>
          <cell r="K3">
            <v>1</v>
          </cell>
          <cell r="L3" t="str">
            <v>Gear shifter to Gear shifter cable attachment "Q" pin fitment improper</v>
          </cell>
          <cell r="M3" t="str">
            <v xml:space="preserve">ICA- 1. DRF given to stage associate
2. Additional Yellow marking started at Buyoff
PCA- 
1. AI based image processing system deployed at stage with sticker
2. OK sticker checking process start at D2D conveyor </v>
          </cell>
          <cell r="O3">
            <v>-45549</v>
          </cell>
          <cell r="Q3" t="str">
            <v>Transmission</v>
          </cell>
          <cell r="R3" t="str">
            <v>R2H51819</v>
          </cell>
          <cell r="S3" t="str">
            <v>G</v>
          </cell>
          <cell r="T3" t="str">
            <v>M&amp;M Process</v>
          </cell>
        </row>
        <row r="4">
          <cell r="A4" t="str">
            <v>XUV3XO_18</v>
          </cell>
          <cell r="B4" t="str">
            <v>XUV3XO</v>
          </cell>
          <cell r="C4">
            <v>18</v>
          </cell>
          <cell r="D4" t="str">
            <v>Customer</v>
          </cell>
          <cell r="E4" t="str">
            <v>Customer</v>
          </cell>
          <cell r="F4" t="str">
            <v>WH</v>
          </cell>
          <cell r="G4">
            <v>45448</v>
          </cell>
          <cell r="H4" t="str">
            <v>Vehicle not starting - Extra bolt found stuck inside flex Plate and AT assembly 
Vehicle not starting - Starter Motor fusible link burnt</v>
          </cell>
          <cell r="J4">
            <v>8</v>
          </cell>
          <cell r="K4">
            <v>2</v>
          </cell>
          <cell r="L4" t="str">
            <v xml:space="preserve">AT transmission flex plate bolt got trapped inside leads to flywheel jam </v>
          </cell>
          <cell r="M4" t="str">
            <v xml:space="preserve">ICA- 1. Transmission stock checked - 28Nos - All found OK - Nilesh 
2. DRF given to stage associate  
PCA- 
1. Flex plate removed bolt collector tray implemented 
2. Metal cap added on transmission </v>
          </cell>
          <cell r="O4">
            <v>-45448</v>
          </cell>
          <cell r="Q4" t="str">
            <v>E&amp;E</v>
          </cell>
          <cell r="R4" t="str">
            <v>R2E56962
R2E55495</v>
          </cell>
          <cell r="S4" t="str">
            <v>G</v>
          </cell>
          <cell r="T4" t="str">
            <v>M&amp;M Process</v>
          </cell>
        </row>
        <row r="5">
          <cell r="A5" t="str">
            <v>XUV3XO_20</v>
          </cell>
          <cell r="B5" t="str">
            <v>XUV3XO</v>
          </cell>
          <cell r="C5">
            <v>20</v>
          </cell>
          <cell r="D5" t="str">
            <v>Customer</v>
          </cell>
          <cell r="E5" t="str">
            <v>Customer</v>
          </cell>
          <cell r="F5" t="str">
            <v>WH</v>
          </cell>
          <cell r="G5">
            <v>45457</v>
          </cell>
          <cell r="H5" t="str">
            <v>Transmission earthing loose, issue resolved after earthing bolt tightening</v>
          </cell>
          <cell r="J5">
            <v>8</v>
          </cell>
          <cell r="K5">
            <v>4</v>
          </cell>
          <cell r="L5" t="str">
            <v>4M Analysis Observations-
1. DC tool not available at stage, No torque traceability &amp; interlock pokayoke available.​
2. Bolt M8 verified on transmission found NOT OK, same bolts verified with gauge also found NOT OK (OK &amp; NOT OK found in same bin – suspected platting variation). ​
3. In 2nd case suspected sleeve trapped inside the bolt head, HST was missing on terminal belt.​</v>
          </cell>
          <cell r="M5" t="str">
            <v>ICA – ​
1)  Dispatch hold – vehicle clearance based on yard  check – 413 No.s - Rahul D –closed.​
2)  Earthing threading checking with gauge – 14th Jun –  Keshav ​
3) Earthing terminal HST position checking started – ​ 14th Jun – Keshav​
PCA -​
1) Electrical DC tool implemented – Rahul D ​
     14th Jun –– Closed,  Cut off Z405473​
2) Re-torquing at buy off with torque wrench – Rahul D ​15th Jun – Closed.​
3) Z stage controls establish - Rahul D ​
     14th Jun –– Closed.​</v>
          </cell>
          <cell r="N5">
            <v>45457</v>
          </cell>
          <cell r="O5">
            <v>0</v>
          </cell>
          <cell r="Q5" t="str">
            <v>E&amp;E</v>
          </cell>
          <cell r="R5" t="str">
            <v>R2D50125
R2D52147
R2D50125
R2F67158</v>
          </cell>
          <cell r="S5" t="str">
            <v>G</v>
          </cell>
          <cell r="T5" t="str">
            <v>M&amp;M Process</v>
          </cell>
        </row>
        <row r="6">
          <cell r="A6" t="str">
            <v>XUV3XO_25</v>
          </cell>
          <cell r="B6" t="str">
            <v>XUV3XO</v>
          </cell>
          <cell r="C6">
            <v>25</v>
          </cell>
          <cell r="D6" t="str">
            <v>Customer</v>
          </cell>
          <cell r="E6" t="str">
            <v>Customer</v>
          </cell>
          <cell r="F6" t="str">
            <v>WH</v>
          </cell>
          <cell r="G6">
            <v>45558</v>
          </cell>
          <cell r="H6" t="str">
            <v>OBD lamp ON and pick up loss, Turbocharger inlet hose cracked</v>
          </cell>
          <cell r="J6">
            <v>8</v>
          </cell>
          <cell r="K6">
            <v>19</v>
          </cell>
          <cell r="L6" t="str">
            <v xml:space="preserve">Intake air sysytem leak air observed from intake manifold, breather hose tube broken on intake manifold during engine decking </v>
          </cell>
          <cell r="M6" t="str">
            <v>ICA- 1. Opl given to stage associate
2. Additional checkpoint started at underbody buyoff stage 
PCA - 1. Protective fixture implemented to avoid damage during engine decking.</v>
          </cell>
          <cell r="O6">
            <v>-45558</v>
          </cell>
          <cell r="Q6" t="str">
            <v>Air Intake</v>
          </cell>
          <cell r="R6" t="str">
            <v>R2C75471
R2F67637
R2E56415
R2F68259
R2F64073
R2G70020
R2G76975
R2G76975
R2F67809
R2F69221
r2h54863
R2K77857
R2F68297
R2D79331
R2F62058
R2K51102
R2E60983
R2H58270</v>
          </cell>
          <cell r="S6" t="str">
            <v>G</v>
          </cell>
          <cell r="T6" t="str">
            <v>M&amp;M Design</v>
          </cell>
        </row>
        <row r="7">
          <cell r="A7" t="str">
            <v>XUV3XO_28</v>
          </cell>
          <cell r="B7" t="str">
            <v>XUV3XO</v>
          </cell>
          <cell r="C7">
            <v>28</v>
          </cell>
          <cell r="D7" t="str">
            <v>Customer</v>
          </cell>
          <cell r="E7" t="str">
            <v>Customer</v>
          </cell>
          <cell r="F7" t="str">
            <v>WH</v>
          </cell>
          <cell r="G7">
            <v>45448</v>
          </cell>
          <cell r="H7" t="str">
            <v>Abnormal noise from engine compartment-RH engine mount broken</v>
          </cell>
          <cell r="J7">
            <v>8</v>
          </cell>
          <cell r="K7">
            <v>1</v>
          </cell>
          <cell r="L7" t="str">
            <v>Extra bolt trapped at RH Mount</v>
          </cell>
          <cell r="M7" t="str">
            <v>Block implemented to avoid extera bolt trapping</v>
          </cell>
          <cell r="O7">
            <v>-45448</v>
          </cell>
          <cell r="Q7" t="str">
            <v>Mounts</v>
          </cell>
          <cell r="R7" t="str">
            <v>R2D79093</v>
          </cell>
          <cell r="S7" t="str">
            <v>G</v>
          </cell>
          <cell r="T7" t="str">
            <v>M&amp;M Process</v>
          </cell>
        </row>
        <row r="8">
          <cell r="A8" t="str">
            <v>XUV3XO_47</v>
          </cell>
          <cell r="B8" t="str">
            <v>XUV3XO</v>
          </cell>
          <cell r="C8">
            <v>47</v>
          </cell>
          <cell r="D8" t="str">
            <v>Customer</v>
          </cell>
          <cell r="E8" t="str">
            <v>Customer</v>
          </cell>
          <cell r="F8" t="str">
            <v>WH</v>
          </cell>
          <cell r="G8">
            <v>45427</v>
          </cell>
          <cell r="H8" t="str">
            <v>Vehicle no start, battery failure</v>
          </cell>
          <cell r="J8">
            <v>8</v>
          </cell>
          <cell r="K8">
            <v>14</v>
          </cell>
          <cell r="L8" t="str">
            <v xml:space="preserve">under analysis </v>
          </cell>
          <cell r="O8">
            <v>-45427</v>
          </cell>
          <cell r="P8" t="str">
            <v>Hemant Chaudhari</v>
          </cell>
          <cell r="Q8" t="str">
            <v>E&amp;E</v>
          </cell>
          <cell r="R8" t="str">
            <v>R2D53299
R2D54404
R2D53786
R2E54789
R2E59561
R2B71503
R2C77239
R2C75260
R2C77882
R2D51998
R2D53639
SD010441
S2G83030
R2M63827
S2C17885
S2A75837
S2E64443
S2G51820
S2F79450
S2C18359
S2J71594
S2A76025
S2A77874
S2F75261
S2F77129
S2A72193
S2J69499
S2A71690
S2K79860
S2H61476
S2L52533
S2G51258
S2K81818
R2M68020
S2J68098</v>
          </cell>
          <cell r="S8" t="str">
            <v>R</v>
          </cell>
          <cell r="T8" t="str">
            <v>M&amp;M Design</v>
          </cell>
        </row>
        <row r="9">
          <cell r="A9" t="str">
            <v>XUV3XO_68</v>
          </cell>
          <cell r="B9" t="str">
            <v>XUV3XO</v>
          </cell>
          <cell r="C9">
            <v>68</v>
          </cell>
          <cell r="D9" t="str">
            <v>Customer</v>
          </cell>
          <cell r="E9" t="str">
            <v>Customer</v>
          </cell>
          <cell r="F9" t="str">
            <v>USV</v>
          </cell>
          <cell r="G9">
            <v>45430</v>
          </cell>
          <cell r="H9" t="str">
            <v>Noise from rear RH wheel while driving, wheel rim balancing weight touching to brake hose</v>
          </cell>
          <cell r="J9">
            <v>6</v>
          </cell>
          <cell r="K9">
            <v>1</v>
          </cell>
          <cell r="Q9" t="str">
            <v>Brakes</v>
          </cell>
          <cell r="R9" t="str">
            <v>R2D54648</v>
          </cell>
          <cell r="S9" t="str">
            <v>G</v>
          </cell>
          <cell r="T9" t="str">
            <v>M&amp;M Process</v>
          </cell>
        </row>
        <row r="10">
          <cell r="A10" t="str">
            <v>XUV3XO_75</v>
          </cell>
          <cell r="B10" t="str">
            <v>XUV3XO</v>
          </cell>
          <cell r="C10">
            <v>75</v>
          </cell>
          <cell r="D10" t="str">
            <v>Customer</v>
          </cell>
          <cell r="E10" t="str">
            <v>Customer</v>
          </cell>
          <cell r="F10" t="str">
            <v>USV</v>
          </cell>
          <cell r="G10">
            <v>45428</v>
          </cell>
          <cell r="H10" t="str">
            <v>AC gas leakage - O ring cut</v>
          </cell>
          <cell r="J10">
            <v>7</v>
          </cell>
          <cell r="K10">
            <v>13</v>
          </cell>
          <cell r="L10" t="str">
            <v>Suspected O-ring damage during fitment - Misalignment during hose insertion in TXV</v>
          </cell>
          <cell r="M10" t="str">
            <v xml:space="preserve">ICA-
 Lint free hand gloves implemented to avoid lint trap between O-ring – 22-May-24
DRF given to all AC pipe fitment associates for key points related to process – Oil application on O-ring, availability of protective caps, alignment of pipe during fitment, etc. – 28-May-24
Check point added in daily field sustenance audit and supervisory check sheet – 28-May-24
PCA- 
1. Pick to light Poka-Yoke added for oil application on O-ring before fitment -  12.07.24
2. Double O- ring AC pipe trial done (FTR Found OK)- Under implementation </v>
          </cell>
          <cell r="Q10" t="str">
            <v>HVAC</v>
          </cell>
          <cell r="R10" t="str">
            <v>R2D79392
R2D51315
R2D51314
R2D50659
R2F62736</v>
          </cell>
          <cell r="S10" t="str">
            <v>G</v>
          </cell>
          <cell r="T10" t="str">
            <v>M&amp;M Process</v>
          </cell>
        </row>
        <row r="11">
          <cell r="A11" t="str">
            <v>XUV3XO_125</v>
          </cell>
          <cell r="B11" t="str">
            <v>XUV3XO</v>
          </cell>
          <cell r="C11">
            <v>125</v>
          </cell>
          <cell r="D11" t="str">
            <v>Customer</v>
          </cell>
          <cell r="E11" t="str">
            <v>Customer</v>
          </cell>
          <cell r="F11" t="str">
            <v>USV</v>
          </cell>
          <cell r="G11">
            <v>45425</v>
          </cell>
          <cell r="H11" t="str">
            <v>AC not cooling, no AC gas in system</v>
          </cell>
          <cell r="J11">
            <v>7</v>
          </cell>
          <cell r="K11">
            <v>14</v>
          </cell>
          <cell r="L11" t="str">
            <v>Suspected O-ring damage during fitment - Misalignment during hose insertion in TXV</v>
          </cell>
          <cell r="M11" t="str">
            <v xml:space="preserve">1. DRF given to stage associates to ensure correct alignment while pipe insertion
PCA- 
1. Pick to light Poka-Yoke added for oil application on O-ring before fitment -  12.07.24
2. Double O- ring AC pipe trial done (FTR Found OK)- Under implementation </v>
          </cell>
          <cell r="Q11" t="str">
            <v>HVAC</v>
          </cell>
          <cell r="R11" t="str">
            <v>R2C74921
R2D79392
R2C76354
R2D51315
R2D51314
R2D50659
R2G70370
R2F61695
R2D53077
R2E58034
R2K74181
S2A73690
R2K50624
S2F74804, S2F74804</v>
          </cell>
          <cell r="S11" t="str">
            <v>G</v>
          </cell>
          <cell r="T11" t="str">
            <v>M&amp;M Process</v>
          </cell>
        </row>
        <row r="12">
          <cell r="A12" t="str">
            <v>XUV3XO_199</v>
          </cell>
          <cell r="B12" t="str">
            <v>XUV3XO</v>
          </cell>
          <cell r="C12">
            <v>199</v>
          </cell>
          <cell r="D12" t="str">
            <v>Customer</v>
          </cell>
          <cell r="E12" t="str">
            <v>Customer</v>
          </cell>
          <cell r="F12" t="str">
            <v>USV</v>
          </cell>
          <cell r="G12">
            <v>45463</v>
          </cell>
          <cell r="H12" t="str">
            <v>AC not working - Leakage from Suction hose</v>
          </cell>
          <cell r="J12">
            <v>7</v>
          </cell>
          <cell r="K12">
            <v>11</v>
          </cell>
          <cell r="L12" t="str">
            <v>Assy process walk thorugh done, basic hygine points in place - Oil application on O-ring, Handling of pipe, presence cap on O-ring, etc.</v>
          </cell>
          <cell r="M12" t="str">
            <v xml:space="preserve">ICA-
 Lint free hand gloves implemented to avoid lint trap between O-ring – 22-May-24
DRF given to all AC pipe fitment associates for key points related to process – Oil application on O-ring, availability of protective caps, alignment of pipe during fitment, etc. – 28-May-24
Check point added in daily field sustenance audit and supervisory check sheet – 28-May-24
PCA- 
1. Pick to light Poka-Yoke added for oil application on O-ring before fitment -  12.07.24
2. Double O- ring AC pipe trial done (FTR Found OK)- Under implementation </v>
          </cell>
          <cell r="Q12" t="str">
            <v>HVAC</v>
          </cell>
          <cell r="R12" t="str">
            <v>R2D52943
R2G70150
R2J70382
R2F62454
R2H51140
R2L51457
R2D80451
R2F68913
R2E55591
R2E58034
R2K74181</v>
          </cell>
          <cell r="S12" t="str">
            <v>G</v>
          </cell>
          <cell r="T12" t="str">
            <v>M&amp;M Process</v>
          </cell>
        </row>
        <row r="13">
          <cell r="A13" t="str">
            <v>XUV3XO_227</v>
          </cell>
          <cell r="B13" t="str">
            <v>XUV3XO</v>
          </cell>
          <cell r="C13">
            <v>227</v>
          </cell>
          <cell r="D13" t="str">
            <v>Customer</v>
          </cell>
          <cell r="E13" t="str">
            <v>Customer</v>
          </cell>
          <cell r="F13" t="str">
            <v>USV</v>
          </cell>
          <cell r="G13">
            <v>45457</v>
          </cell>
          <cell r="H13" t="str">
            <v>Exhaust gas leakage from EATS V clamp</v>
          </cell>
          <cell r="J13">
            <v>10</v>
          </cell>
          <cell r="K13">
            <v>59</v>
          </cell>
          <cell r="L13" t="str">
            <v>1. Exhaust gas leakage from gasket joint due to inproper sealing (compression)
2. SDPF part assly braket position NOK.
3. Design inadquite</v>
          </cell>
          <cell r="M13" t="str">
            <v>ICA- 1. SDPF part storage position change to avoid braket bend 
PCA – 1)  SDPF part assly braket position NOK - Welding and  checking fixture corrected at Tenneco end – 15 Jun 24 
2) Locating pin provided for better alignment between Turbo Flange &amp; Exhaust ( Reduce impact of Weight. This ensures better compression of gasket)-</v>
          </cell>
          <cell r="P13" t="str">
            <v>Hemant Barde</v>
          </cell>
          <cell r="Q13" t="str">
            <v>EATS</v>
          </cell>
          <cell r="R13" t="str">
            <v>R2D51443
R2D50198
R2D80279
R2C76674
R2C78951
R2C78223
R2C78230
R2C78525
R2F62480
R2F62526
R2F63839
R2E58868
R2C75561
R2E61173
R2C78023
R2C74913
R2C78367
R2C77572
R2F63109
R2D52232
R2D79002
R2F63256
R2F61659
R2C77364
R2G74782
R2F62305
R2F65279
R2F61965
R2D50205
R2C74985
R2D50153
R2C77193
R2C77022
R2E57690
R2D80274
R2E59468
R2E58790
R2F63209
R2E54715
R2F63438
R2D50976
R2D50206
R2D50293
R2C76854
R2G70906
R2F62305
R2E60323
R2H56262
r2e56197
R2C76638
R2F63157
R2E57928
R2C76471
R2F63741
R2D54571
R2F63621
R2G74708
R2C76203
R2E56837</v>
          </cell>
          <cell r="S13" t="str">
            <v>R</v>
          </cell>
          <cell r="T13" t="str">
            <v>M&amp;M Design</v>
          </cell>
        </row>
        <row r="14">
          <cell r="A14" t="str">
            <v>XUV3XO_234</v>
          </cell>
          <cell r="B14" t="str">
            <v>XUV3XO</v>
          </cell>
          <cell r="C14">
            <v>234</v>
          </cell>
          <cell r="D14" t="str">
            <v>Customer</v>
          </cell>
          <cell r="E14" t="str">
            <v>Customer</v>
          </cell>
          <cell r="F14" t="str">
            <v>USV</v>
          </cell>
          <cell r="G14">
            <v>45457</v>
          </cell>
          <cell r="H14" t="str">
            <v>Vehicle not starting - Alternator fuse nut loose</v>
          </cell>
          <cell r="J14">
            <v>10</v>
          </cell>
          <cell r="K14">
            <v>1</v>
          </cell>
          <cell r="L14" t="str">
            <v xml:space="preserve">Supplier Process issue </v>
          </cell>
          <cell r="M14" t="str">
            <v xml:space="preserve">Supplier Process issue </v>
          </cell>
          <cell r="Q14" t="str">
            <v>E&amp;E</v>
          </cell>
          <cell r="R14" t="str">
            <v>R2E56388</v>
          </cell>
          <cell r="S14" t="str">
            <v>G</v>
          </cell>
          <cell r="T14" t="str">
            <v>Supplier Process</v>
          </cell>
        </row>
        <row r="15">
          <cell r="A15" t="str">
            <v>XUV3XO_239</v>
          </cell>
          <cell r="B15" t="str">
            <v>XUV3XO</v>
          </cell>
          <cell r="C15">
            <v>239</v>
          </cell>
          <cell r="D15" t="str">
            <v>Customer</v>
          </cell>
          <cell r="E15" t="str">
            <v>Customer</v>
          </cell>
          <cell r="F15" t="str">
            <v>USV</v>
          </cell>
          <cell r="H15" t="str">
            <v xml:space="preserve">RPM and Speedo meter needle flickering with multiple tell tale - Intermittent
(wire cut - A-pillar bottom) </v>
          </cell>
          <cell r="J15">
            <v>5</v>
          </cell>
          <cell r="K15">
            <v>1</v>
          </cell>
          <cell r="Q15" t="str">
            <v>E&amp;E</v>
          </cell>
          <cell r="R15" t="str">
            <v>R2C75778</v>
          </cell>
          <cell r="S15" t="str">
            <v>G</v>
          </cell>
          <cell r="T15" t="str">
            <v>M&amp;M Process</v>
          </cell>
        </row>
        <row r="16">
          <cell r="A16" t="str">
            <v>XUV3XO_242</v>
          </cell>
          <cell r="B16" t="str">
            <v>XUV3XO</v>
          </cell>
          <cell r="C16">
            <v>242</v>
          </cell>
          <cell r="D16" t="str">
            <v>Customer</v>
          </cell>
          <cell r="E16" t="str">
            <v>Customer</v>
          </cell>
          <cell r="F16" t="str">
            <v>USV</v>
          </cell>
          <cell r="G16">
            <v>45459</v>
          </cell>
          <cell r="H16" t="str">
            <v>OBD Lamp ON - Purge vent line loose fitted</v>
          </cell>
          <cell r="K16">
            <v>3</v>
          </cell>
          <cell r="L16" t="str">
            <v xml:space="preserve">Purge vent line joint(QFC) poor lock </v>
          </cell>
          <cell r="M16" t="str">
            <v>ICA- 1. DRF given to stage associate and buyoff checkman.
PCA- 1. Additional buy off checking by push pull method</v>
          </cell>
          <cell r="Q16" t="str">
            <v>Air Intake</v>
          </cell>
          <cell r="R16" t="str">
            <v>R2E55662
R2E60240
R2C78743</v>
          </cell>
          <cell r="S16" t="str">
            <v>G</v>
          </cell>
          <cell r="T16" t="str">
            <v>M&amp;M Process</v>
          </cell>
        </row>
        <row r="17">
          <cell r="A17" t="str">
            <v>XUV3XO_247</v>
          </cell>
          <cell r="B17" t="str">
            <v>XUV3XO</v>
          </cell>
          <cell r="C17">
            <v>247</v>
          </cell>
          <cell r="D17" t="str">
            <v>Customer</v>
          </cell>
          <cell r="E17" t="str">
            <v>Customer</v>
          </cell>
          <cell r="F17" t="str">
            <v>USV</v>
          </cell>
          <cell r="H17" t="str">
            <v xml:space="preserve">Airbag lamp continuously ON In cluster </v>
          </cell>
          <cell r="K17">
            <v>21</v>
          </cell>
          <cell r="L17" t="str">
            <v xml:space="preserve">Supplier Process issue </v>
          </cell>
          <cell r="M17" t="str">
            <v xml:space="preserve">Supplier Process issue </v>
          </cell>
          <cell r="Q17" t="str">
            <v>E&amp;E</v>
          </cell>
          <cell r="R17" t="str">
            <v>R2D54243
R2G77227
R2E55080
R2F69017
R2G73775
R2H53579
R2G70389
R2E58781
R2G71464
R2E59638
R2H54221
R2D53046
R2E61128
R2H54069
R2G78059
R2J63034
R2K78795
R2J65132
R2K76682
R2L54279
R2D51315
R2D52718</v>
          </cell>
          <cell r="S17" t="str">
            <v>G</v>
          </cell>
          <cell r="T17" t="str">
            <v>Supplier Process</v>
          </cell>
        </row>
        <row r="18">
          <cell r="A18" t="str">
            <v>XUV3XO_249</v>
          </cell>
          <cell r="B18" t="str">
            <v>XUV3XO</v>
          </cell>
          <cell r="C18">
            <v>249</v>
          </cell>
          <cell r="D18" t="str">
            <v>Customer</v>
          </cell>
          <cell r="E18" t="str">
            <v>Customer</v>
          </cell>
          <cell r="F18" t="str">
            <v>USV</v>
          </cell>
          <cell r="G18">
            <v>45467</v>
          </cell>
          <cell r="H18" t="str">
            <v>Steering Hard with EPS Lamp ON</v>
          </cell>
          <cell r="K18">
            <v>3</v>
          </cell>
          <cell r="Q18" t="str">
            <v>Steering</v>
          </cell>
          <cell r="R18" t="str">
            <v>R2D52422
R2E55784</v>
          </cell>
          <cell r="S18" t="str">
            <v>G</v>
          </cell>
          <cell r="T18" t="str">
            <v>Supplier Design</v>
          </cell>
        </row>
        <row r="19">
          <cell r="A19" t="str">
            <v>XUV3XO_250</v>
          </cell>
          <cell r="B19" t="str">
            <v>XUV3XO</v>
          </cell>
          <cell r="C19">
            <v>250</v>
          </cell>
          <cell r="D19" t="str">
            <v>Customer</v>
          </cell>
          <cell r="E19" t="str">
            <v>Customer</v>
          </cell>
          <cell r="F19" t="str">
            <v>USV</v>
          </cell>
          <cell r="G19">
            <v>45471</v>
          </cell>
          <cell r="H19" t="str">
            <v xml:space="preserve">Tyre Wrong - Different tyre make fixed on LH side both MRF &amp; RH side both Apollo Tyre </v>
          </cell>
          <cell r="K19">
            <v>2</v>
          </cell>
          <cell r="L19" t="str">
            <v>Wrong material feed by SCM associate (controls bypass) which was not detected in line checks (manual).</v>
          </cell>
          <cell r="M19" t="str">
            <v>ICA- 
1. DRF given to SCM &amp; Stage associate, Dispatch hold vehicle cleared on base of yard check
PCA-
1. Tyre make confirmation pokayoke to be implement – 2nd JULY
2. Scanning data confirmation MIS to be start - 3rd Jul</v>
          </cell>
          <cell r="Q19" t="str">
            <v>Wheels &amp; Tyres</v>
          </cell>
          <cell r="R19" t="str">
            <v>R2D52293
R2F67809</v>
          </cell>
          <cell r="S19" t="str">
            <v>G</v>
          </cell>
          <cell r="T19" t="str">
            <v>M&amp;M Process</v>
          </cell>
        </row>
        <row r="20">
          <cell r="A20" t="str">
            <v>XUV3XO_269</v>
          </cell>
          <cell r="B20" t="str">
            <v>XUV3XO</v>
          </cell>
          <cell r="C20">
            <v>269</v>
          </cell>
          <cell r="D20" t="str">
            <v>Customer</v>
          </cell>
          <cell r="E20" t="str">
            <v>Customer</v>
          </cell>
          <cell r="F20" t="str">
            <v>USV</v>
          </cell>
          <cell r="G20">
            <v>45417</v>
          </cell>
          <cell r="H20" t="str">
            <v>RPAS not working – Left sensor shows “Error”
or 
Dry soldering observed at Piezo wire &amp; housing terminal of transducer cell _ Manual operation</v>
          </cell>
          <cell r="K20">
            <v>69</v>
          </cell>
          <cell r="L20" t="str">
            <v>Robust controls available at supplier - 
Auto stacking press based fuse pressing at sub-assembly station followed by vision based camera system.
use No. 21 (MBFM) found loose, after remove-refit found OK. No any photo/video evidence captured
No inhouse rework history, concern under monitoring.</v>
          </cell>
          <cell r="M20" t="str">
            <v>100% fuse box verification started at IAC for the no loose fuse.</v>
          </cell>
          <cell r="Q20" t="str">
            <v>E&amp;E</v>
          </cell>
          <cell r="R20" t="str">
            <v>R2D50526
R2D50899
R2C76344
R2F61900
R2E54757
R2C76633
R2G72981
R2D80128
R2D79208
R2C77911
R2G74072
R2E55058
R2E55107
R2D54533
R2F63381
R2E55707
R2C78411
R2C75527
R2G74112
R2F63315
R2F64919
R2J64866
R2H80234
R2F61863
R2D52684
R2C78217
R2D79328
R2C78232
R2E59380
R2G74588
R2D79887
R2E56856
R2G74006
R2D53213
R2C76433
R2J66478
R2E57640
R2J66646
R2J60246
R2D50817
R2E57703
R2D54247
R2D51022
R2G71732
R2C74404
R2K77681
R2D52979
R2E55895
R2G72407
R2E55400
R2D52152
R2K51082
R2L51500
R2L54228
R2M62516
S2A76868
R2M66425
R2M62569
S2A73140
S2A78081
S2C17914
S2D59810
S2D59080
S2E61042
S2C17914
S2D60116
S2D58168
S2D58981
S2D59921</v>
          </cell>
          <cell r="S20" t="str">
            <v>G</v>
          </cell>
          <cell r="T20" t="str">
            <v>Supplier Process</v>
          </cell>
        </row>
        <row r="21">
          <cell r="A21" t="str">
            <v>XUV3XO_281</v>
          </cell>
          <cell r="B21" t="str">
            <v>XUV3XO</v>
          </cell>
          <cell r="C21">
            <v>281</v>
          </cell>
          <cell r="D21" t="str">
            <v>Customer</v>
          </cell>
          <cell r="E21" t="str">
            <v>Customer</v>
          </cell>
          <cell r="F21" t="str">
            <v>USV</v>
          </cell>
          <cell r="G21">
            <v>45445</v>
          </cell>
          <cell r="H21" t="str">
            <v>Wireless charger not working- Interface</v>
          </cell>
          <cell r="K21">
            <v>135</v>
          </cell>
          <cell r="L21" t="str">
            <v>Due to electric overstress</v>
          </cell>
          <cell r="P21" t="str">
            <v xml:space="preserve">Hemant chaudhari </v>
          </cell>
          <cell r="Q21" t="str">
            <v>E&amp;E</v>
          </cell>
          <cell r="R21" t="str">
            <v>R2D51893
R2D51661
R2F61367
R2D79032
R2F63126
R2E55907
R2E55538
R2F69240
R2C78649
R2E57962
R2F68079
R2F66556
R2G78122
R2C75071
R2C75813
R2E61010
R2C75378
R2C75760
R2H55016
R2E61102
R2E59017
R2F63222
R2C76514
R2H56314
R2F65496
R2F66512
R2G70722
R2E59663
R2C75180
R2C74636
R2C75778
R2E59523
R2F62437
R2G77844
R2E61091
R2C78651
R2D79208
R2E56084
R2D79208
R2F69182
R2C75434
R2E59932
R2H54161
R2G78352
R2H56641
R2F67596
R2H55524
R2C75419
R2H50350
R2E55244
R2H54056
R2K72953
R2H55250
R2G79145
R2J69220
R2C75981
R2F61451
R2D54602
R2G72854
R2G70450
R2H80414
R2F67378
r2e60890
R2K73204
R2H59812
R2H59604
R2J65898
R2E60077
R2H59778
R2K75165
R2H50428
R2K50370
R2J68700
R2G70698
R2H55505
R2K50048
R2J64573
R2E58456 
R2F68391
R2M63257
R2H56282
R2H55666
R2M62467
R2K78482
R2G79989
R2F65323
R2M67623
R2G73693 
R2C76180
R2J67134
R2H58041
R2G74546
R2H57492
R2J63104
R2K77163
R2H53908
R2K50298
R2H54341
R2J68701
R2E58675
R2G79954
R2J62646
R2H56201
R2L51669
R2J66164
R2G72303
R2K70597
R2M62467
R2L51669
R2M67623
R2L52574
R2L58067
R2M62448
R2M61140
R2L51523
R2L54819
S2A73949
S2A73468
S2A74035
S2A77776
R2M67639
R2M69243
R2M65649
R2L57474
R2M65645
S2A72823
S2A73417
S2A74439
S2A74885
S2C98779
S2B95208
S2A70631
S2C10547
S2D52142
S2C15316
S2A77094
S2B97991
S2C14804
S2B97622</v>
          </cell>
          <cell r="S21" t="str">
            <v>R</v>
          </cell>
          <cell r="T21" t="str">
            <v>Under Analysis</v>
          </cell>
        </row>
        <row r="22">
          <cell r="A22" t="str">
            <v>XUV3XO_282</v>
          </cell>
          <cell r="B22" t="str">
            <v>XUV3XO</v>
          </cell>
          <cell r="C22">
            <v>282</v>
          </cell>
          <cell r="D22" t="str">
            <v>Customer</v>
          </cell>
          <cell r="E22" t="str">
            <v>Customer</v>
          </cell>
          <cell r="F22" t="str">
            <v>USV</v>
          </cell>
          <cell r="G22">
            <v>45603</v>
          </cell>
          <cell r="H22" t="str">
            <v>Cracking sound from LH front speaker</v>
          </cell>
          <cell r="K22">
            <v>14</v>
          </cell>
          <cell r="L22" t="str">
            <v>Speaker dust cap observed deformed</v>
          </cell>
          <cell r="M22" t="str">
            <v>ICA- 1. DRF given to stage associate and SCM person to check speaker during handling or fitment 
2. Stock part checked 240 Nos. found OK 
PCA- 1. Additional checkpoint is added at Underbody Buyoff</v>
          </cell>
          <cell r="Q22" t="str">
            <v>E&amp;E</v>
          </cell>
          <cell r="R22" t="str">
            <v>R2F62321
R2H52012
R2H55264
R2F68989
R2E60168
R2G79448
R2E58219
R2E55553
R2H56505
R2K77506
R2F64010
R2H54396
R2K74055
R2C75602</v>
          </cell>
          <cell r="S22" t="str">
            <v>G</v>
          </cell>
          <cell r="T22" t="str">
            <v>M&amp;M Process</v>
          </cell>
        </row>
        <row r="23">
          <cell r="A23" t="str">
            <v>XUV3XO_295</v>
          </cell>
          <cell r="B23" t="str">
            <v>XUV3XO</v>
          </cell>
          <cell r="C23">
            <v>295</v>
          </cell>
          <cell r="D23" t="str">
            <v>Customer</v>
          </cell>
          <cell r="E23" t="str">
            <v>Customer</v>
          </cell>
          <cell r="F23" t="str">
            <v>USV</v>
          </cell>
          <cell r="G23">
            <v>45510</v>
          </cell>
          <cell r="H23" t="str">
            <v>Driver Seat Belt Stuck</v>
          </cell>
          <cell r="K23">
            <v>1</v>
          </cell>
          <cell r="L23" t="str">
            <v xml:space="preserve">B-pillar mtg screw got stuck inside the belt </v>
          </cell>
          <cell r="M23" t="str">
            <v>ICA- 
1.DRF given to all the stage associates to ensure screw to be removed if fallen while assly.
2. Dispatch hold - yard check done all found OK
PCA- 
1.Magnetic screw bit provided to avoid the screw fallen while fitment</v>
          </cell>
          <cell r="Q23" t="str">
            <v>Trims</v>
          </cell>
          <cell r="R23" t="str">
            <v>R2G77268</v>
          </cell>
          <cell r="S23" t="str">
            <v>G</v>
          </cell>
          <cell r="T23" t="str">
            <v>M&amp;M Process</v>
          </cell>
        </row>
        <row r="24">
          <cell r="A24" t="str">
            <v>XUV3XO_299</v>
          </cell>
          <cell r="B24" t="str">
            <v>XUV3XO</v>
          </cell>
          <cell r="C24">
            <v>299</v>
          </cell>
          <cell r="D24" t="str">
            <v>Customer</v>
          </cell>
          <cell r="E24" t="str">
            <v>Customer</v>
          </cell>
          <cell r="F24" t="str">
            <v>USV</v>
          </cell>
          <cell r="G24">
            <v>45538</v>
          </cell>
          <cell r="H24" t="str">
            <v>Water leak from windshield glass</v>
          </cell>
          <cell r="K24">
            <v>4</v>
          </cell>
          <cell r="L24" t="str">
            <v>Windshiled area water leakage observed due to sealer path discturbed during fitment on BIW
or
Leak observed from top side center area (Near IRVM Mtg)
Glass opened and found sealent miss on center top area (above IRVM bracket)</v>
          </cell>
          <cell r="M24" t="str">
            <v>ICA- 
1. DRF given to all stage associates.- 03/09/2024
PCA- 
New robot implemented better consistency for sealer dimension and path 
Budget approval to be given</v>
          </cell>
          <cell r="P24" t="str">
            <v>Tushar kulkarni</v>
          </cell>
          <cell r="Q24" t="str">
            <v>GSM</v>
          </cell>
          <cell r="R24" t="str">
            <v>R2G79640
R2F62075
R2H54945
S2H63035</v>
          </cell>
          <cell r="S24" t="str">
            <v>R</v>
          </cell>
          <cell r="T24" t="str">
            <v>M&amp;M Process</v>
          </cell>
        </row>
        <row r="25">
          <cell r="A25" t="str">
            <v>XUV3XO_303</v>
          </cell>
          <cell r="B25" t="str">
            <v>XUV3XO</v>
          </cell>
          <cell r="C25">
            <v>303</v>
          </cell>
          <cell r="D25" t="str">
            <v>Customer</v>
          </cell>
          <cell r="E25" t="str">
            <v>Customer</v>
          </cell>
          <cell r="F25" t="str">
            <v>USV</v>
          </cell>
          <cell r="G25">
            <v>45524</v>
          </cell>
          <cell r="H25" t="str">
            <v>Wrong color front bumper</v>
          </cell>
          <cell r="K25">
            <v>1</v>
          </cell>
          <cell r="L25" t="str">
            <v>Observation- 
Front bumper comes sequence from Supplier end.
Fitment happen at New line 
For this vehicle no bumper related rework was done.
No shortage was reported.
Analysis :    
Wrong part come in sequence got assembled on line.
No any pokayoke available at line for correct part fitment - only visual controls.
This vehicle was mfg on 04-Aug-24 in 3rd Shift @ 2.45 am – Not detected at line buy off.
Down stream checks available in CSC (04-Aug-24 in 3rd Shift @ 5.09 am)  and online LSP (04-Aug-24 in 3rd Shift @ 6.45 am)  – Not got detected.
Potential Causes : 
Black &amp; Bebula blue Front bumper colors looks matching with each other, however it is detectable visually.
No any separate visual identification or sequence error proofing is available to avoid the wrong part fitment.</v>
          </cell>
          <cell r="M25" t="str">
            <v>1. DRF given to all stage associates &amp; detection check man – 20.08.24 – Closed.
2. Identification sticker to be implement for Nebula blue colour Bumpers – will be cross checked at buy off &amp; CSC checks – 21.08.24 – (Trial OK). 
3. Additional check point to be added in variant management – Mobile App base checking – 22.08.24.</v>
          </cell>
          <cell r="Q25" t="str">
            <v>Trims</v>
          </cell>
          <cell r="R25" t="str">
            <v>R2H50500</v>
          </cell>
          <cell r="S25" t="str">
            <v>G</v>
          </cell>
          <cell r="T25" t="str">
            <v>M&amp;M Process</v>
          </cell>
        </row>
        <row r="26">
          <cell r="A26" t="str">
            <v>XUV3XO_313</v>
          </cell>
          <cell r="B26" t="str">
            <v>XUV3XO</v>
          </cell>
          <cell r="C26">
            <v>313</v>
          </cell>
          <cell r="D26" t="str">
            <v>Customer</v>
          </cell>
          <cell r="E26" t="str">
            <v>Customer</v>
          </cell>
          <cell r="F26" t="str">
            <v>USV</v>
          </cell>
          <cell r="G26">
            <v>45537</v>
          </cell>
          <cell r="H26" t="str">
            <v>Rear RH door trim pad wrong</v>
          </cell>
          <cell r="K26">
            <v>3</v>
          </cell>
          <cell r="L26" t="str">
            <v>Analysis –
- Part received in sequence trolley. Wrong part feeding by logistic person in sequence trolley which got assembled on line. Detection skipped from buyoff check.
- Vehicle rolled in 1st shift at 08:50AM (Door trim pad fitment in 3rd shift at 06:50AM)</v>
          </cell>
          <cell r="M26" t="str">
            <v>PCA – 
Check point added in variant management (Diversity check through mobile based App) at two stages (Model Verification &amp; CSC Static)– 20th Aug’24
Barcode based traceability scanning to be implemented – Target Date : 5th Sep’24</v>
          </cell>
          <cell r="Q26" t="str">
            <v>Trims</v>
          </cell>
          <cell r="R26" t="str">
            <v>R2G75612
R2G77462
R2J70124</v>
          </cell>
          <cell r="S26" t="str">
            <v>G</v>
          </cell>
          <cell r="T26" t="str">
            <v>M&amp;M Process</v>
          </cell>
        </row>
        <row r="27">
          <cell r="A27" t="str">
            <v>XUV3XO_319</v>
          </cell>
          <cell r="B27" t="str">
            <v>XUV3XO</v>
          </cell>
          <cell r="C27">
            <v>319</v>
          </cell>
          <cell r="D27" t="str">
            <v>Customer</v>
          </cell>
          <cell r="E27" t="str">
            <v>Customer</v>
          </cell>
          <cell r="F27" t="str">
            <v>USV</v>
          </cell>
          <cell r="G27">
            <v>45478</v>
          </cell>
          <cell r="H27" t="str">
            <v>Whistling noise from engine compartment - Intercooler hose poor fit at Turbocharger end</v>
          </cell>
          <cell r="K27">
            <v>1</v>
          </cell>
          <cell r="L27" t="str">
            <v>Position of the clamp was behind the intended position (outside the spigot) – manual error from stage associate</v>
          </cell>
          <cell r="M27" t="str">
            <v xml:space="preserve">Yellow paint marker match marking started to ensure the correct position of clamp on hose. </v>
          </cell>
          <cell r="Q27" t="str">
            <v>Air Intake</v>
          </cell>
          <cell r="R27" t="str">
            <v>R2F68592</v>
          </cell>
          <cell r="S27" t="str">
            <v>G</v>
          </cell>
          <cell r="T27" t="str">
            <v>M&amp;M Process</v>
          </cell>
        </row>
        <row r="28">
          <cell r="A28" t="str">
            <v>XUV3XO_323</v>
          </cell>
          <cell r="B28" t="str">
            <v>XUV3XO</v>
          </cell>
          <cell r="C28">
            <v>323</v>
          </cell>
          <cell r="D28" t="str">
            <v>Customer</v>
          </cell>
          <cell r="E28" t="str">
            <v>Customer</v>
          </cell>
          <cell r="F28" t="str">
            <v>USV</v>
          </cell>
          <cell r="G28">
            <v>45480</v>
          </cell>
          <cell r="H28" t="str">
            <v>OBD Lamp ON - Intake manifold hose connector broken</v>
          </cell>
          <cell r="K28">
            <v>1</v>
          </cell>
          <cell r="Q28" t="str">
            <v>E&amp;E</v>
          </cell>
          <cell r="R28" t="str">
            <v>R2F62803</v>
          </cell>
          <cell r="S28" t="str">
            <v>G</v>
          </cell>
          <cell r="T28" t="str">
            <v>M&amp;M Process</v>
          </cell>
        </row>
        <row r="29">
          <cell r="A29" t="str">
            <v>XUV3XO_328</v>
          </cell>
          <cell r="B29" t="str">
            <v>XUV3XO</v>
          </cell>
          <cell r="C29">
            <v>328</v>
          </cell>
          <cell r="D29" t="str">
            <v>Customer</v>
          </cell>
          <cell r="E29" t="str">
            <v>Customer</v>
          </cell>
          <cell r="F29" t="str">
            <v>USV</v>
          </cell>
          <cell r="G29">
            <v>45640</v>
          </cell>
          <cell r="H29" t="str">
            <v>ORVM power fold function not working</v>
          </cell>
          <cell r="K29">
            <v>3</v>
          </cell>
          <cell r="L29" t="str">
            <v>Manual folding ORVM assembled - Wrong part fitment in TCF
Tracebility sticker found NOK 
Vehicle skip from buyoff</v>
          </cell>
          <cell r="M29" t="str">
            <v xml:space="preserve">ICA-
1. DRF given to checkman 
PCA- Sticker checking  process added at SIW and buyoff </v>
          </cell>
          <cell r="Q29" t="str">
            <v>Trims</v>
          </cell>
          <cell r="R29" t="str">
            <v>R2D51789
R2H59839
R2L54533</v>
          </cell>
          <cell r="S29" t="str">
            <v>G</v>
          </cell>
          <cell r="T29" t="str">
            <v>M&amp;M Process</v>
          </cell>
        </row>
        <row r="30">
          <cell r="A30" t="str">
            <v>XUV3XO_329</v>
          </cell>
          <cell r="B30" t="str">
            <v>XUV3XO</v>
          </cell>
          <cell r="C30">
            <v>329</v>
          </cell>
          <cell r="D30" t="str">
            <v>Customer</v>
          </cell>
          <cell r="E30" t="str">
            <v>Customer</v>
          </cell>
          <cell r="F30" t="str">
            <v>USV</v>
          </cell>
          <cell r="G30">
            <v>45572</v>
          </cell>
          <cell r="H30" t="str">
            <v>Rattle Noise come from Headliner assembly area at rough road around(Roof Velcro not locked fully)</v>
          </cell>
          <cell r="K30">
            <v>3</v>
          </cell>
          <cell r="L30" t="str">
            <v>Headliner is not properly fitted leads to sagging &amp; rattling of headliner with sunroof frame.
Concern resolved after pushing headliner from inside and velcro fitted properly at both sides.</v>
          </cell>
          <cell r="M30" t="str">
            <v xml:space="preserve">ICA- 1. DRF given to stage associate for velcro locking
2.  Awareness given about locking point on headliner.
PCA- 1.  Additional pressing joint added at stage
2. Detection point added at final line  </v>
          </cell>
          <cell r="Q30" t="str">
            <v>Trims</v>
          </cell>
          <cell r="R30" t="str">
            <v xml:space="preserve"> R2H60046
R2J60411
R2H53056</v>
          </cell>
          <cell r="S30" t="str">
            <v>G</v>
          </cell>
          <cell r="T30" t="str">
            <v>M&amp;M Process</v>
          </cell>
        </row>
        <row r="31">
          <cell r="A31" t="str">
            <v>XUV3XO_339</v>
          </cell>
          <cell r="B31" t="str">
            <v>XUV3XO</v>
          </cell>
          <cell r="C31">
            <v>339</v>
          </cell>
          <cell r="D31" t="str">
            <v>Customer</v>
          </cell>
          <cell r="E31" t="str">
            <v>Customer</v>
          </cell>
          <cell r="F31" t="str">
            <v>USV</v>
          </cell>
          <cell r="H31" t="str">
            <v>Rail roof came out from rear end - LH</v>
          </cell>
          <cell r="K31">
            <v>1</v>
          </cell>
          <cell r="Q31" t="str">
            <v>Trims</v>
          </cell>
          <cell r="R31" t="str">
            <v>R2F65664</v>
          </cell>
          <cell r="S31" t="str">
            <v>G</v>
          </cell>
          <cell r="T31" t="str">
            <v>M&amp;M Process</v>
          </cell>
        </row>
        <row r="32">
          <cell r="A32" t="str">
            <v>XUV3XO_375</v>
          </cell>
          <cell r="B32" t="str">
            <v>XUV3XO</v>
          </cell>
          <cell r="C32">
            <v>375</v>
          </cell>
          <cell r="D32" t="str">
            <v>Customer</v>
          </cell>
          <cell r="E32" t="str">
            <v>Customer</v>
          </cell>
          <cell r="F32" t="str">
            <v>USV</v>
          </cell>
          <cell r="G32">
            <v>45530</v>
          </cell>
          <cell r="H32" t="str">
            <v>Starter Motor Failure</v>
          </cell>
          <cell r="K32">
            <v>11</v>
          </cell>
          <cell r="Q32" t="str">
            <v>E&amp;E</v>
          </cell>
          <cell r="R32" t="str">
            <v>R2G73079
R2D80453
R2C77610
R2E58581
R2F68213
R2G76396
R2D52323
R2F63393
R2D52536
R2C77610
R2E56978</v>
          </cell>
          <cell r="S32" t="str">
            <v>G</v>
          </cell>
          <cell r="T32" t="str">
            <v>Supplier Process</v>
          </cell>
        </row>
        <row r="33">
          <cell r="A33" t="str">
            <v>XUV3XO_406</v>
          </cell>
          <cell r="B33" t="str">
            <v>XUV3XO</v>
          </cell>
          <cell r="C33">
            <v>406</v>
          </cell>
          <cell r="D33" t="str">
            <v>Customer</v>
          </cell>
          <cell r="E33" t="str">
            <v>Customer</v>
          </cell>
          <cell r="F33" t="str">
            <v>USV</v>
          </cell>
          <cell r="G33">
            <v>45555</v>
          </cell>
          <cell r="H33" t="str">
            <v>Radiator leakage due to extra bolt trapped</v>
          </cell>
          <cell r="K33">
            <v>1</v>
          </cell>
          <cell r="Q33" t="str">
            <v>Cooling</v>
          </cell>
          <cell r="R33" t="str">
            <v>R2G73620</v>
          </cell>
          <cell r="S33" t="str">
            <v>G</v>
          </cell>
          <cell r="T33" t="str">
            <v>M&amp;M Process</v>
          </cell>
        </row>
        <row r="34">
          <cell r="A34" t="str">
            <v>XUV3XO_425</v>
          </cell>
          <cell r="B34" t="str">
            <v>XUV3XO</v>
          </cell>
          <cell r="C34">
            <v>425</v>
          </cell>
          <cell r="D34" t="str">
            <v>Customer</v>
          </cell>
          <cell r="E34" t="str">
            <v>Customer</v>
          </cell>
          <cell r="F34" t="str">
            <v>USV</v>
          </cell>
          <cell r="H34" t="str">
            <v xml:space="preserve">ABS, ESP, Hill Hold and Hill descent On cluster meter and ODO meter reading not increased and Engine not shutoff (Excess sticker glue material observed on earthing surface)
</v>
          </cell>
          <cell r="K34">
            <v>4</v>
          </cell>
          <cell r="L34" t="str">
            <v>Excess sticker glue material observed on earthing surface</v>
          </cell>
          <cell r="M34" t="str">
            <v>Action - Stud to be provided instead of nut design</v>
          </cell>
          <cell r="P34" t="str">
            <v>Devendra rane</v>
          </cell>
          <cell r="Q34" t="str">
            <v>BIW</v>
          </cell>
          <cell r="R34" t="str">
            <v>R2G71988
R2G71988
R2J66912
R2K72737</v>
          </cell>
          <cell r="S34" t="str">
            <v>R</v>
          </cell>
          <cell r="T34" t="str">
            <v>Supplier Process</v>
          </cell>
        </row>
        <row r="35">
          <cell r="A35" t="str">
            <v>XUV3XO_426</v>
          </cell>
          <cell r="B35" t="str">
            <v>XUV3XO</v>
          </cell>
          <cell r="C35">
            <v>426</v>
          </cell>
          <cell r="D35" t="str">
            <v>Customer</v>
          </cell>
          <cell r="E35" t="str">
            <v>Customer</v>
          </cell>
          <cell r="F35" t="str">
            <v>WH</v>
          </cell>
          <cell r="G35">
            <v>45946</v>
          </cell>
          <cell r="H35" t="str">
            <v>Abnormal noise in idle condition ,vehicle driven only 1700km- Flex plate crack</v>
          </cell>
          <cell r="J35">
            <v>10</v>
          </cell>
          <cell r="K35">
            <v>1</v>
          </cell>
          <cell r="L35" t="str">
            <v>Flex plate - Found bolt over torque.</v>
          </cell>
          <cell r="M35" t="str">
            <v xml:space="preserve"> At GEMBA - 1. Specified tool set for 45 NM is used for final tightening.
2. Tool Max range is 60NM torque at 120 RPM.
3. Tool has undergone torque audit by MQA person on the same day (26.08.25) in 2nd shift &amp; values are observed within range.
4. AT INdexing sticker - 6 bolts tightening OK available on history card.
5. No other tool with more than 45NM are available within range of Flex plate final tightening.</v>
          </cell>
          <cell r="P35" t="str">
            <v>Tushar kulkarni</v>
          </cell>
          <cell r="Q35" t="str">
            <v>Transmission</v>
          </cell>
          <cell r="R35" t="str">
            <v>S2H61482</v>
          </cell>
          <cell r="S35" t="str">
            <v>Y</v>
          </cell>
          <cell r="T35" t="str">
            <v>Under Analysis</v>
          </cell>
        </row>
        <row r="36">
          <cell r="A36" t="str">
            <v>XUV3XO_427</v>
          </cell>
          <cell r="B36" t="str">
            <v>XUV3XO</v>
          </cell>
          <cell r="C36">
            <v>427</v>
          </cell>
          <cell r="D36" t="str">
            <v>Customer</v>
          </cell>
          <cell r="E36" t="str">
            <v>Customer</v>
          </cell>
          <cell r="F36" t="str">
            <v>USV</v>
          </cell>
          <cell r="G36">
            <v>46028</v>
          </cell>
          <cell r="H36" t="str">
            <v xml:space="preserve">Noise from A pillar top due to glass foudling </v>
          </cell>
          <cell r="J36">
            <v>5</v>
          </cell>
          <cell r="K36">
            <v>1</v>
          </cell>
          <cell r="L36" t="str">
            <v xml:space="preserve">Glass fouling to BIW A pillar Top </v>
          </cell>
          <cell r="M36" t="str">
            <v>1.Visual checkpoint added at CSC buyoff
2.Visual checkpoint added at Buyoff
3.Z Position of Glass locator is shifted towards downwards by 0.5 mm in the spec mean to lower spec .
At BIW – Gauge Implemented which takes care of ​
4.Maintaining max gap of 5 MM between Glass edge after fitment to BIW A Panel ​</v>
          </cell>
          <cell r="N36" t="str">
            <v xml:space="preserve">22-12-2025
22-12-2025
22-12-2025
</v>
          </cell>
          <cell r="P36" t="str">
            <v>Vilas Lele</v>
          </cell>
          <cell r="Q36" t="str">
            <v>BIW</v>
          </cell>
          <cell r="R36" t="str">
            <v>S2K81990</v>
          </cell>
          <cell r="S36" t="str">
            <v>Y</v>
          </cell>
          <cell r="T36" t="str">
            <v>M&amp;M Process</v>
          </cell>
        </row>
        <row r="37">
          <cell r="A37" t="str">
            <v>XUV3XO_428</v>
          </cell>
          <cell r="B37" t="str">
            <v>XUV3XO</v>
          </cell>
          <cell r="C37">
            <v>428</v>
          </cell>
          <cell r="D37" t="str">
            <v>Customer</v>
          </cell>
          <cell r="E37" t="str">
            <v>Customer</v>
          </cell>
          <cell r="F37" t="str">
            <v>USV</v>
          </cell>
          <cell r="G37">
            <v>46028</v>
          </cell>
          <cell r="H37" t="str">
            <v>Underbody noise due K frame mounting sleeve crack in BIW</v>
          </cell>
          <cell r="J37">
            <v>7</v>
          </cell>
          <cell r="K37">
            <v>2</v>
          </cell>
          <cell r="L37" t="str">
            <v>Trader /Supplier End Raw Material Not Ok Bar Mixed Up with Ok bars.​
 (Silica sludge observed &amp; Microstructure found NOK ​
(Required Fine 5-8, observed coarse 1-2)</v>
          </cell>
          <cell r="M37" t="str">
            <v>ICA-
1-100% Ultrasonic testing of RM Bar started- 16.10.2025 
2- 3rd party MPI Inspection Before Welding of Sleeve started with W engraving -27-10-25G ​
PCA:
1. Every lot 3rd Party RM inspection started – 05.11.2025 G ​
2.RM supplier/Trader changed from Prashant to Nutech Trader - 05.11.2025 G​</v>
          </cell>
          <cell r="N37">
            <v>45966</v>
          </cell>
          <cell r="P37" t="str">
            <v>Nilesh Dargude</v>
          </cell>
          <cell r="Q37" t="str">
            <v>BIW</v>
          </cell>
          <cell r="R37" t="str">
            <v>S2K78920 ​
S2K76256</v>
          </cell>
          <cell r="S37" t="str">
            <v>Y</v>
          </cell>
          <cell r="T37" t="str">
            <v>Supplier Process</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EF4CD-3CAF-4330-BB3B-210080CDDB36}">
  <dimension ref="A1:AU36"/>
  <sheetViews>
    <sheetView tabSelected="1" zoomScale="59" workbookViewId="0">
      <selection activeCell="E2" sqref="E2"/>
    </sheetView>
  </sheetViews>
  <sheetFormatPr defaultRowHeight="14.45"/>
  <cols>
    <col min="1" max="1" width="8.42578125" customWidth="1"/>
    <col min="2" max="2" width="15.42578125" customWidth="1"/>
    <col min="3" max="3" width="44" customWidth="1"/>
    <col min="4" max="4" width="13.140625" customWidth="1"/>
    <col min="5" max="5" width="52.140625" customWidth="1"/>
    <col min="6" max="6" width="49.28515625" customWidth="1"/>
    <col min="7" max="7" width="14.42578125" customWidth="1"/>
    <col min="8" max="8" width="13.28515625" customWidth="1"/>
    <col min="9" max="9" width="14.85546875" customWidth="1"/>
    <col min="10" max="10" width="18.5703125" customWidth="1"/>
    <col min="11" max="11" width="16.85546875" customWidth="1"/>
    <col min="12" max="14" width="14" customWidth="1"/>
    <col min="15" max="15" width="16.140625" customWidth="1"/>
    <col min="16" max="16" width="18.85546875" customWidth="1"/>
    <col min="17" max="17" width="18.42578125" customWidth="1"/>
    <col min="18" max="18" width="11.5703125" customWidth="1"/>
    <col min="19" max="45" width="6.7109375" customWidth="1"/>
    <col min="46" max="46" width="18.85546875" customWidth="1"/>
    <col min="47" max="47" width="17.42578125" customWidth="1"/>
  </cols>
  <sheetData>
    <row r="1" spans="1:47" s="15" customFormat="1" ht="101.45" customHeight="1" thickBot="1">
      <c r="A1" s="1" t="s">
        <v>0</v>
      </c>
      <c r="B1" s="2" t="s">
        <v>1</v>
      </c>
      <c r="C1" s="3" t="s">
        <v>2</v>
      </c>
      <c r="D1" s="3" t="s">
        <v>3</v>
      </c>
      <c r="E1" s="26" t="s">
        <v>4</v>
      </c>
      <c r="F1" s="26" t="s">
        <v>5</v>
      </c>
      <c r="G1" s="26" t="s">
        <v>6</v>
      </c>
      <c r="H1" s="26" t="s">
        <v>7</v>
      </c>
      <c r="I1" s="9" t="s">
        <v>8</v>
      </c>
      <c r="J1" s="4" t="s">
        <v>9</v>
      </c>
      <c r="K1" s="4" t="s">
        <v>10</v>
      </c>
      <c r="L1" s="5" t="s">
        <v>11</v>
      </c>
      <c r="M1" s="6" t="s">
        <v>12</v>
      </c>
      <c r="N1" s="6" t="s">
        <v>13</v>
      </c>
      <c r="O1" s="7" t="s">
        <v>14</v>
      </c>
      <c r="P1" s="8" t="s">
        <v>15</v>
      </c>
      <c r="Q1" s="8" t="s">
        <v>16</v>
      </c>
      <c r="R1" s="10" t="s">
        <v>17</v>
      </c>
      <c r="S1" s="11">
        <v>45292</v>
      </c>
      <c r="T1" s="11">
        <v>45323</v>
      </c>
      <c r="U1" s="11">
        <v>45352</v>
      </c>
      <c r="V1" s="11">
        <v>45383</v>
      </c>
      <c r="W1" s="11">
        <v>45413</v>
      </c>
      <c r="X1" s="11">
        <v>45444</v>
      </c>
      <c r="Y1" s="11">
        <v>45474</v>
      </c>
      <c r="Z1" s="11">
        <v>45505</v>
      </c>
      <c r="AA1" s="11">
        <v>45536</v>
      </c>
      <c r="AB1" s="11">
        <v>45566</v>
      </c>
      <c r="AC1" s="11">
        <v>45597</v>
      </c>
      <c r="AD1" s="11">
        <v>45627</v>
      </c>
      <c r="AE1" s="11">
        <v>45658</v>
      </c>
      <c r="AF1" s="11">
        <v>45689</v>
      </c>
      <c r="AG1" s="11">
        <v>45717</v>
      </c>
      <c r="AH1" s="11">
        <v>45748</v>
      </c>
      <c r="AI1" s="11">
        <v>45778</v>
      </c>
      <c r="AJ1" s="11">
        <v>45809</v>
      </c>
      <c r="AK1" s="11">
        <v>45839</v>
      </c>
      <c r="AL1" s="11">
        <v>45870</v>
      </c>
      <c r="AM1" s="11">
        <v>45901</v>
      </c>
      <c r="AN1" s="11">
        <v>45931</v>
      </c>
      <c r="AO1" s="11">
        <v>45962</v>
      </c>
      <c r="AP1" s="11">
        <v>45992</v>
      </c>
      <c r="AQ1" s="11">
        <v>46023</v>
      </c>
      <c r="AR1" s="11">
        <v>46054</v>
      </c>
      <c r="AS1" s="12">
        <v>46082</v>
      </c>
      <c r="AT1" s="13" t="s">
        <v>18</v>
      </c>
      <c r="AU1" s="14" t="s">
        <v>19</v>
      </c>
    </row>
    <row r="2" spans="1:47" ht="110.1" customHeight="1" thickBot="1">
      <c r="A2" s="16">
        <v>1</v>
      </c>
      <c r="B2" s="17" t="s">
        <v>20</v>
      </c>
      <c r="C2" s="18" t="s">
        <v>21</v>
      </c>
      <c r="D2" s="19" t="s">
        <v>22</v>
      </c>
      <c r="E2" s="28" t="s">
        <v>23</v>
      </c>
      <c r="F2" s="29" t="s">
        <v>24</v>
      </c>
      <c r="G2" s="27">
        <v>45352</v>
      </c>
      <c r="H2" s="19"/>
      <c r="I2" s="20" t="str">
        <f>VLOOKUP(B2,'[1]Action Plan XUV3XO'!A:S,19,FALSE)</f>
        <v>G</v>
      </c>
      <c r="J2" s="19" t="str">
        <f>VLOOKUP(B2,'[1]Action Plan XUV3XO'!$A:$T,20,FALSE)</f>
        <v>Supplier Process</v>
      </c>
      <c r="K2" s="19" t="str">
        <f>VLOOKUP(B2,'[1]Action Plan XUV3XO'!A:Q,17,FALSE)</f>
        <v>E&amp;E</v>
      </c>
      <c r="L2" s="20" t="s">
        <v>25</v>
      </c>
      <c r="M2" s="20" t="s">
        <v>26</v>
      </c>
      <c r="N2" s="21" t="s">
        <v>27</v>
      </c>
      <c r="O2" s="21" t="str">
        <f>IF(J2="M&amp;M Process","M",IF(J2="Supplier Process","P",IF(J2="Under Analysis","U","D")))</f>
        <v>P</v>
      </c>
      <c r="P2" s="21" t="s">
        <v>28</v>
      </c>
      <c r="Q2" s="21" t="s">
        <v>29</v>
      </c>
      <c r="R2" s="22">
        <f t="shared" ref="R2:R36" si="0">SUM(S2:AS2)</f>
        <v>4</v>
      </c>
      <c r="S2" s="22"/>
      <c r="T2" s="22"/>
      <c r="U2" s="22"/>
      <c r="V2" s="22"/>
      <c r="W2" s="22"/>
      <c r="X2" s="22"/>
      <c r="Y2" s="22"/>
      <c r="Z2" s="22"/>
      <c r="AA2" s="22"/>
      <c r="AB2" s="22"/>
      <c r="AC2" s="22"/>
      <c r="AD2" s="22"/>
      <c r="AE2" s="22"/>
      <c r="AF2" s="22"/>
      <c r="AG2" s="22"/>
      <c r="AH2" s="22">
        <v>3</v>
      </c>
      <c r="AI2" s="22"/>
      <c r="AJ2" s="22"/>
      <c r="AK2" s="22">
        <v>1</v>
      </c>
      <c r="AL2" s="22"/>
      <c r="AM2" s="22"/>
      <c r="AN2" s="22"/>
      <c r="AO2" s="22"/>
      <c r="AP2" s="22"/>
      <c r="AQ2" s="22"/>
      <c r="AR2" s="22"/>
      <c r="AS2" s="23"/>
      <c r="AT2" s="24">
        <v>0</v>
      </c>
      <c r="AU2" s="25" t="s">
        <v>30</v>
      </c>
    </row>
    <row r="3" spans="1:47" ht="110.1" customHeight="1" thickBot="1">
      <c r="A3" s="16">
        <v>2</v>
      </c>
      <c r="B3" s="17" t="s">
        <v>31</v>
      </c>
      <c r="C3" s="18" t="s">
        <v>32</v>
      </c>
      <c r="D3" s="19" t="s">
        <v>22</v>
      </c>
      <c r="E3" s="28" t="s">
        <v>33</v>
      </c>
      <c r="F3" s="29" t="s">
        <v>33</v>
      </c>
      <c r="G3" s="27">
        <v>0</v>
      </c>
      <c r="H3" s="19"/>
      <c r="I3" s="20" t="str">
        <f>VLOOKUP(B3,'[1]Action Plan XUV3XO'!A:S,19,FALSE)</f>
        <v>G</v>
      </c>
      <c r="J3" s="19" t="str">
        <f>VLOOKUP(B3,'[1]Action Plan XUV3XO'!$A:$T,20,FALSE)</f>
        <v>Supplier Process</v>
      </c>
      <c r="K3" s="19" t="str">
        <f>VLOOKUP(B3,'[1]Action Plan XUV3XO'!A:Q,17,FALSE)</f>
        <v>E&amp;E</v>
      </c>
      <c r="L3" s="21" t="s">
        <v>34</v>
      </c>
      <c r="M3" s="20" t="s">
        <v>35</v>
      </c>
      <c r="N3" s="21" t="s">
        <v>27</v>
      </c>
      <c r="O3" s="21" t="str">
        <f>IF(J3="M&amp;M Process","M",IF(J3="Supplier Process","P",IF(J3="Under Analysis","U","D")))</f>
        <v>P</v>
      </c>
      <c r="P3" s="21" t="s">
        <v>36</v>
      </c>
      <c r="Q3" s="21" t="s">
        <v>37</v>
      </c>
      <c r="R3" s="22">
        <f t="shared" si="0"/>
        <v>21</v>
      </c>
      <c r="S3" s="22"/>
      <c r="T3" s="22"/>
      <c r="U3" s="22"/>
      <c r="V3" s="22"/>
      <c r="W3" s="22"/>
      <c r="X3" s="22">
        <v>2</v>
      </c>
      <c r="Y3" s="22"/>
      <c r="Z3" s="22"/>
      <c r="AA3" s="22">
        <v>2</v>
      </c>
      <c r="AB3" s="22">
        <v>6</v>
      </c>
      <c r="AC3" s="22">
        <v>4</v>
      </c>
      <c r="AD3" s="22">
        <v>4</v>
      </c>
      <c r="AE3" s="22">
        <v>3</v>
      </c>
      <c r="AF3" s="22"/>
      <c r="AG3" s="22"/>
      <c r="AH3" s="22"/>
      <c r="AI3" s="22"/>
      <c r="AJ3" s="22"/>
      <c r="AK3" s="22"/>
      <c r="AL3" s="22"/>
      <c r="AM3" s="22"/>
      <c r="AN3" s="22"/>
      <c r="AO3" s="22"/>
      <c r="AP3" s="22"/>
      <c r="AQ3" s="22"/>
      <c r="AR3" s="22"/>
      <c r="AS3" s="23"/>
      <c r="AT3" s="24">
        <v>0</v>
      </c>
      <c r="AU3" s="25" t="s">
        <v>30</v>
      </c>
    </row>
    <row r="4" spans="1:47" ht="110.1" customHeight="1" thickBot="1">
      <c r="A4" s="16">
        <v>3</v>
      </c>
      <c r="B4" s="17" t="s">
        <v>38</v>
      </c>
      <c r="C4" s="18" t="s">
        <v>39</v>
      </c>
      <c r="D4" s="19" t="s">
        <v>22</v>
      </c>
      <c r="E4" s="28" t="s">
        <v>40</v>
      </c>
      <c r="F4" s="29" t="s">
        <v>41</v>
      </c>
      <c r="G4" s="27">
        <v>0</v>
      </c>
      <c r="H4" s="19"/>
      <c r="I4" s="20" t="str">
        <f>VLOOKUP(B4,'[1]Action Plan XUV3XO'!A:S,19,FALSE)</f>
        <v>G</v>
      </c>
      <c r="J4" s="19" t="str">
        <f>VLOOKUP(B4,'[1]Action Plan XUV3XO'!$A:$T,20,FALSE)</f>
        <v>M&amp;M Process</v>
      </c>
      <c r="K4" s="19" t="str">
        <f>VLOOKUP(B4,'[1]Action Plan XUV3XO'!A:Q,17,FALSE)</f>
        <v>E&amp;E</v>
      </c>
      <c r="L4" s="21" t="s">
        <v>42</v>
      </c>
      <c r="M4" s="20" t="s">
        <v>43</v>
      </c>
      <c r="N4" s="21" t="s">
        <v>27</v>
      </c>
      <c r="O4" s="21" t="str">
        <f>IF(J4="M&amp;M Process","M",IF(J4="Supplier Process","P",IF(J4="Under Analysis","U","D")))</f>
        <v>M</v>
      </c>
      <c r="P4" s="21" t="s">
        <v>44</v>
      </c>
      <c r="Q4" s="21" t="s">
        <v>45</v>
      </c>
      <c r="R4" s="22">
        <f t="shared" si="0"/>
        <v>2</v>
      </c>
      <c r="S4" s="22"/>
      <c r="T4" s="22"/>
      <c r="U4" s="22"/>
      <c r="V4" s="22"/>
      <c r="W4" s="22"/>
      <c r="X4" s="22">
        <v>1</v>
      </c>
      <c r="Y4" s="22">
        <v>1</v>
      </c>
      <c r="Z4" s="22"/>
      <c r="AA4" s="22"/>
      <c r="AB4" s="22"/>
      <c r="AC4" s="22"/>
      <c r="AD4" s="22"/>
      <c r="AE4" s="22"/>
      <c r="AF4" s="22"/>
      <c r="AG4" s="22"/>
      <c r="AH4" s="22"/>
      <c r="AI4" s="22"/>
      <c r="AJ4" s="22"/>
      <c r="AK4" s="22"/>
      <c r="AL4" s="22"/>
      <c r="AM4" s="22"/>
      <c r="AN4" s="22"/>
      <c r="AO4" s="22"/>
      <c r="AP4" s="22"/>
      <c r="AQ4" s="22"/>
      <c r="AR4" s="22"/>
      <c r="AS4" s="23"/>
      <c r="AT4" s="24">
        <v>0</v>
      </c>
      <c r="AU4" s="25" t="s">
        <v>30</v>
      </c>
    </row>
    <row r="5" spans="1:47" ht="110.1" customHeight="1" thickBot="1">
      <c r="A5" s="16">
        <v>4</v>
      </c>
      <c r="B5" s="17" t="s">
        <v>46</v>
      </c>
      <c r="C5" s="18" t="s">
        <v>47</v>
      </c>
      <c r="D5" s="19" t="s">
        <v>22</v>
      </c>
      <c r="E5" s="28" t="s">
        <v>48</v>
      </c>
      <c r="F5" s="29" t="s">
        <v>49</v>
      </c>
      <c r="G5" s="27">
        <v>45457</v>
      </c>
      <c r="H5" s="19"/>
      <c r="I5" s="20" t="str">
        <f>VLOOKUP(B5,'[1]Action Plan XUV3XO'!A:S,19,FALSE)</f>
        <v>G</v>
      </c>
      <c r="J5" s="19" t="str">
        <f>VLOOKUP(B5,'[1]Action Plan XUV3XO'!$A:$T,20,FALSE)</f>
        <v>M&amp;M Process</v>
      </c>
      <c r="K5" s="19" t="str">
        <f>VLOOKUP(B5,'[1]Action Plan XUV3XO'!A:Q,17,FALSE)</f>
        <v>E&amp;E</v>
      </c>
      <c r="L5" s="21" t="s">
        <v>50</v>
      </c>
      <c r="M5" s="20" t="s">
        <v>51</v>
      </c>
      <c r="N5" s="21" t="s">
        <v>27</v>
      </c>
      <c r="O5" s="21" t="str">
        <f>IF(J5="M&amp;M Process","M",IF(J5="Supplier Process","P",IF(J5="Under Analysis","U","D")))</f>
        <v>M</v>
      </c>
      <c r="P5" s="21" t="s">
        <v>52</v>
      </c>
      <c r="Q5" s="21" t="s">
        <v>53</v>
      </c>
      <c r="R5" s="22">
        <f t="shared" si="0"/>
        <v>4</v>
      </c>
      <c r="S5" s="22"/>
      <c r="T5" s="22"/>
      <c r="U5" s="22"/>
      <c r="V5" s="22"/>
      <c r="W5" s="22"/>
      <c r="X5" s="22">
        <v>3</v>
      </c>
      <c r="Y5" s="22">
        <v>1</v>
      </c>
      <c r="Z5" s="22"/>
      <c r="AA5" s="22"/>
      <c r="AB5" s="22"/>
      <c r="AC5" s="22"/>
      <c r="AD5" s="22"/>
      <c r="AE5" s="22"/>
      <c r="AF5" s="22"/>
      <c r="AG5" s="22"/>
      <c r="AH5" s="22"/>
      <c r="AI5" s="22"/>
      <c r="AJ5" s="22"/>
      <c r="AK5" s="22"/>
      <c r="AL5" s="22"/>
      <c r="AM5" s="22"/>
      <c r="AN5" s="22"/>
      <c r="AO5" s="22"/>
      <c r="AP5" s="22"/>
      <c r="AQ5" s="22"/>
      <c r="AR5" s="22"/>
      <c r="AS5" s="23"/>
      <c r="AT5" s="24">
        <v>0</v>
      </c>
      <c r="AU5" s="25" t="s">
        <v>30</v>
      </c>
    </row>
    <row r="6" spans="1:47" ht="110.1" customHeight="1" thickBot="1">
      <c r="A6" s="16">
        <v>35</v>
      </c>
      <c r="B6" s="17" t="s">
        <v>54</v>
      </c>
      <c r="C6" s="18" t="s">
        <v>55</v>
      </c>
      <c r="D6" s="19" t="s">
        <v>22</v>
      </c>
      <c r="E6" s="28" t="s">
        <v>56</v>
      </c>
      <c r="F6" s="29" t="s">
        <v>57</v>
      </c>
      <c r="G6" s="27">
        <v>0</v>
      </c>
      <c r="H6" s="19"/>
      <c r="I6" s="20" t="str">
        <f>VLOOKUP(B6,'[1]Action Plan XUV3XO'!A:S,19,FALSE)</f>
        <v>Y</v>
      </c>
      <c r="J6" s="19" t="str">
        <f>VLOOKUP(B6,'[1]Action Plan XUV3XO'!$A:$T,20,FALSE)</f>
        <v>Under Analysis</v>
      </c>
      <c r="K6" s="19" t="str">
        <f>VLOOKUP(B6,'[1]Action Plan XUV3XO'!A:Q,17,FALSE)</f>
        <v>Transmission</v>
      </c>
      <c r="L6" s="21" t="s">
        <v>42</v>
      </c>
      <c r="M6" s="20" t="s">
        <v>43</v>
      </c>
      <c r="N6" s="21" t="s">
        <v>27</v>
      </c>
      <c r="O6" s="21" t="str">
        <f>IF(J6="M&amp;M Process","M",IF(J6="Supplier Process","P",IF(J6="Under Analysis","U","D")))</f>
        <v>U</v>
      </c>
      <c r="P6" s="21" t="s">
        <v>58</v>
      </c>
      <c r="Q6" s="21" t="s">
        <v>59</v>
      </c>
      <c r="R6" s="22">
        <f t="shared" si="0"/>
        <v>1</v>
      </c>
      <c r="S6" s="22"/>
      <c r="T6" s="22"/>
      <c r="U6" s="22"/>
      <c r="V6" s="22"/>
      <c r="W6" s="22"/>
      <c r="X6" s="22"/>
      <c r="Y6" s="22"/>
      <c r="Z6" s="22"/>
      <c r="AA6" s="22"/>
      <c r="AB6" s="22"/>
      <c r="AC6" s="22"/>
      <c r="AD6" s="22"/>
      <c r="AE6" s="22"/>
      <c r="AF6" s="22"/>
      <c r="AG6" s="22"/>
      <c r="AH6" s="22"/>
      <c r="AI6" s="22"/>
      <c r="AJ6" s="22"/>
      <c r="AK6" s="22"/>
      <c r="AL6" s="22"/>
      <c r="AM6" s="22"/>
      <c r="AN6" s="22">
        <v>1</v>
      </c>
      <c r="AO6" s="22"/>
      <c r="AP6" s="22"/>
      <c r="AQ6" s="22"/>
      <c r="AR6" s="22"/>
      <c r="AS6" s="23"/>
      <c r="AT6" s="24"/>
      <c r="AU6" s="25" t="s">
        <v>30</v>
      </c>
    </row>
    <row r="7" spans="1:47" ht="110.1" customHeight="1" thickBot="1">
      <c r="A7" s="16">
        <v>22</v>
      </c>
      <c r="B7" s="17" t="s">
        <v>60</v>
      </c>
      <c r="C7" s="18" t="s">
        <v>61</v>
      </c>
      <c r="D7" s="19" t="s">
        <v>62</v>
      </c>
      <c r="E7" s="28">
        <v>0</v>
      </c>
      <c r="F7" s="29">
        <v>0</v>
      </c>
      <c r="G7" s="27">
        <v>0</v>
      </c>
      <c r="H7" s="19"/>
      <c r="I7" s="20" t="str">
        <f>VLOOKUP(B7,'[1]Action Plan XUV3XO'!A:S,19,FALSE)</f>
        <v>G</v>
      </c>
      <c r="J7" s="19" t="str">
        <f>VLOOKUP(B7,'[1]Action Plan XUV3XO'!$A:$T,20,FALSE)</f>
        <v>M&amp;M Process</v>
      </c>
      <c r="K7" s="19" t="str">
        <f>VLOOKUP(B7,'[1]Action Plan XUV3XO'!A:Q,17,FALSE)</f>
        <v>E&amp;E</v>
      </c>
      <c r="L7" s="21" t="s">
        <v>63</v>
      </c>
      <c r="M7" s="20" t="s">
        <v>64</v>
      </c>
      <c r="N7" s="21" t="s">
        <v>27</v>
      </c>
      <c r="O7" s="21" t="str">
        <f>IF(J7="M&amp;M Process","M",IF(J7="Supplier Process","P",IF(J7="Under Analysis","U","D")))</f>
        <v>M</v>
      </c>
      <c r="P7" s="21" t="s">
        <v>65</v>
      </c>
      <c r="Q7" s="21" t="s">
        <v>66</v>
      </c>
      <c r="R7" s="22">
        <f t="shared" si="0"/>
        <v>1</v>
      </c>
      <c r="S7" s="22"/>
      <c r="T7" s="22"/>
      <c r="U7" s="22"/>
      <c r="V7" s="22"/>
      <c r="W7" s="22"/>
      <c r="X7" s="22"/>
      <c r="Y7" s="22">
        <v>1</v>
      </c>
      <c r="Z7" s="22"/>
      <c r="AA7" s="22"/>
      <c r="AB7" s="22"/>
      <c r="AC7" s="22"/>
      <c r="AD7" s="22"/>
      <c r="AE7" s="22"/>
      <c r="AF7" s="22"/>
      <c r="AG7" s="22"/>
      <c r="AH7" s="22"/>
      <c r="AI7" s="22"/>
      <c r="AJ7" s="22"/>
      <c r="AK7" s="22"/>
      <c r="AL7" s="22"/>
      <c r="AM7" s="22"/>
      <c r="AN7" s="22"/>
      <c r="AO7" s="22"/>
      <c r="AP7" s="22"/>
      <c r="AQ7" s="22"/>
      <c r="AR7" s="22"/>
      <c r="AS7" s="23"/>
      <c r="AT7" s="24">
        <v>0</v>
      </c>
      <c r="AU7" s="25" t="s">
        <v>30</v>
      </c>
    </row>
    <row r="8" spans="1:47" ht="110.1" customHeight="1" thickBot="1">
      <c r="A8" s="16">
        <v>7</v>
      </c>
      <c r="B8" s="17" t="s">
        <v>67</v>
      </c>
      <c r="C8" s="18" t="s">
        <v>68</v>
      </c>
      <c r="D8" s="19" t="s">
        <v>22</v>
      </c>
      <c r="E8" s="28" t="s">
        <v>69</v>
      </c>
      <c r="F8" s="29">
        <v>0</v>
      </c>
      <c r="G8" s="27">
        <v>0</v>
      </c>
      <c r="H8" s="19"/>
      <c r="I8" s="20" t="str">
        <f>VLOOKUP(B8,'[1]Action Plan XUV3XO'!A:S,19,FALSE)</f>
        <v>R</v>
      </c>
      <c r="J8" s="19" t="str">
        <f>VLOOKUP(B8,'[1]Action Plan XUV3XO'!$A:$T,20,FALSE)</f>
        <v>M&amp;M Design</v>
      </c>
      <c r="K8" s="19" t="str">
        <f>VLOOKUP(B8,'[1]Action Plan XUV3XO'!A:Q,17,FALSE)</f>
        <v>E&amp;E</v>
      </c>
      <c r="L8" s="21" t="s">
        <v>70</v>
      </c>
      <c r="M8" s="20" t="s">
        <v>71</v>
      </c>
      <c r="N8" s="21" t="s">
        <v>27</v>
      </c>
      <c r="O8" s="21" t="str">
        <f>IF(J8="M&amp;M Process","M",IF(J8="Supplier Process","P",IF(J8="Under Analysis","U","D")))</f>
        <v>D</v>
      </c>
      <c r="P8" s="21" t="s">
        <v>72</v>
      </c>
      <c r="Q8" s="21" t="s">
        <v>29</v>
      </c>
      <c r="R8" s="22">
        <f t="shared" si="0"/>
        <v>31</v>
      </c>
      <c r="S8" s="22"/>
      <c r="T8" s="22"/>
      <c r="U8" s="22">
        <v>0</v>
      </c>
      <c r="V8" s="22">
        <v>0</v>
      </c>
      <c r="W8" s="22">
        <v>4</v>
      </c>
      <c r="X8" s="22">
        <v>6</v>
      </c>
      <c r="Y8" s="22"/>
      <c r="Z8" s="22"/>
      <c r="AA8" s="22"/>
      <c r="AB8" s="22"/>
      <c r="AC8" s="22">
        <v>1</v>
      </c>
      <c r="AD8" s="22"/>
      <c r="AE8" s="22"/>
      <c r="AF8" s="22"/>
      <c r="AG8" s="22"/>
      <c r="AH8" s="22"/>
      <c r="AI8" s="22"/>
      <c r="AJ8" s="22"/>
      <c r="AK8" s="22"/>
      <c r="AL8" s="22">
        <v>2</v>
      </c>
      <c r="AM8" s="22">
        <v>1</v>
      </c>
      <c r="AN8" s="22">
        <v>4</v>
      </c>
      <c r="AO8" s="22">
        <v>5</v>
      </c>
      <c r="AP8" s="22">
        <v>4</v>
      </c>
      <c r="AQ8" s="22">
        <v>2</v>
      </c>
      <c r="AR8" s="22">
        <v>2</v>
      </c>
      <c r="AS8" s="23"/>
      <c r="AT8" s="24">
        <v>0</v>
      </c>
      <c r="AU8" s="25" t="s">
        <v>73</v>
      </c>
    </row>
    <row r="9" spans="1:47" ht="110.1" customHeight="1" thickBot="1">
      <c r="A9" s="16">
        <v>8</v>
      </c>
      <c r="B9" s="17" t="s">
        <v>74</v>
      </c>
      <c r="C9" s="18" t="s">
        <v>75</v>
      </c>
      <c r="D9" s="19" t="s">
        <v>62</v>
      </c>
      <c r="E9" s="28">
        <v>0</v>
      </c>
      <c r="F9" s="29">
        <v>0</v>
      </c>
      <c r="G9" s="27">
        <v>0</v>
      </c>
      <c r="H9" s="19"/>
      <c r="I9" s="20" t="str">
        <f>VLOOKUP(B9,'[1]Action Plan XUV3XO'!A:S,19,FALSE)</f>
        <v>G</v>
      </c>
      <c r="J9" s="19" t="str">
        <f>VLOOKUP(B9,'[1]Action Plan XUV3XO'!$A:$T,20,FALSE)</f>
        <v>M&amp;M Process</v>
      </c>
      <c r="K9" s="19" t="str">
        <f>VLOOKUP(B9,'[1]Action Plan XUV3XO'!A:Q,17,FALSE)</f>
        <v>Trims</v>
      </c>
      <c r="L9" s="21" t="s">
        <v>25</v>
      </c>
      <c r="M9" s="20" t="s">
        <v>76</v>
      </c>
      <c r="N9" s="21" t="s">
        <v>27</v>
      </c>
      <c r="O9" s="21" t="str">
        <f>IF(J9="M&amp;M Process","M",IF(J9="Supplier Process","P",IF(J9="Under Analysis","U","D")))</f>
        <v>M</v>
      </c>
      <c r="P9" s="21" t="s">
        <v>77</v>
      </c>
      <c r="Q9" s="21" t="s">
        <v>78</v>
      </c>
      <c r="R9" s="22">
        <f t="shared" si="0"/>
        <v>1</v>
      </c>
      <c r="S9" s="22"/>
      <c r="T9" s="22"/>
      <c r="U9" s="22"/>
      <c r="V9" s="22"/>
      <c r="W9" s="22"/>
      <c r="X9" s="22"/>
      <c r="Y9" s="22"/>
      <c r="Z9" s="22">
        <v>1</v>
      </c>
      <c r="AA9" s="22"/>
      <c r="AB9" s="22"/>
      <c r="AC9" s="22"/>
      <c r="AD9" s="22"/>
      <c r="AE9" s="22"/>
      <c r="AF9" s="22"/>
      <c r="AG9" s="22"/>
      <c r="AH9" s="22"/>
      <c r="AI9" s="22"/>
      <c r="AJ9" s="22"/>
      <c r="AK9" s="22"/>
      <c r="AL9" s="22"/>
      <c r="AM9" s="22"/>
      <c r="AN9" s="22"/>
      <c r="AO9" s="22"/>
      <c r="AP9" s="22"/>
      <c r="AQ9" s="22"/>
      <c r="AR9" s="22"/>
      <c r="AS9" s="23"/>
      <c r="AT9" s="24">
        <v>0</v>
      </c>
      <c r="AU9" s="25" t="s">
        <v>30</v>
      </c>
    </row>
    <row r="10" spans="1:47" ht="110.1" customHeight="1" thickBot="1">
      <c r="A10" s="16">
        <v>9</v>
      </c>
      <c r="B10" s="17" t="s">
        <v>79</v>
      </c>
      <c r="C10" s="18" t="s">
        <v>80</v>
      </c>
      <c r="D10" s="19" t="s">
        <v>62</v>
      </c>
      <c r="E10" s="28" t="s">
        <v>81</v>
      </c>
      <c r="F10" s="29" t="s">
        <v>82</v>
      </c>
      <c r="G10" s="27">
        <v>0</v>
      </c>
      <c r="H10" s="19"/>
      <c r="I10" s="20" t="str">
        <f>VLOOKUP(B10,'[1]Action Plan XUV3XO'!A:S,19,FALSE)</f>
        <v>R</v>
      </c>
      <c r="J10" s="19" t="str">
        <f>VLOOKUP(B10,'[1]Action Plan XUV3XO'!$A:$T,20,FALSE)</f>
        <v>Supplier Process</v>
      </c>
      <c r="K10" s="19" t="str">
        <f>VLOOKUP(B10,'[1]Action Plan XUV3XO'!A:Q,17,FALSE)</f>
        <v>BIW</v>
      </c>
      <c r="L10" s="21" t="s">
        <v>25</v>
      </c>
      <c r="M10" s="20" t="s">
        <v>26</v>
      </c>
      <c r="N10" s="21" t="s">
        <v>27</v>
      </c>
      <c r="O10" s="21" t="str">
        <f>IF(J10="M&amp;M Process","M",IF(J10="Supplier Process","P",IF(J10="Under Analysis","U","D")))</f>
        <v>P</v>
      </c>
      <c r="P10" s="21" t="s">
        <v>36</v>
      </c>
      <c r="Q10" s="21" t="s">
        <v>83</v>
      </c>
      <c r="R10" s="22">
        <f t="shared" si="0"/>
        <v>4</v>
      </c>
      <c r="S10" s="22"/>
      <c r="T10" s="22"/>
      <c r="U10" s="22"/>
      <c r="V10" s="22"/>
      <c r="W10" s="22"/>
      <c r="X10" s="22"/>
      <c r="Y10" s="22"/>
      <c r="Z10" s="22"/>
      <c r="AA10" s="22"/>
      <c r="AB10" s="22">
        <v>3</v>
      </c>
      <c r="AC10" s="22"/>
      <c r="AD10" s="22">
        <v>1</v>
      </c>
      <c r="AE10" s="22"/>
      <c r="AF10" s="22"/>
      <c r="AG10" s="22"/>
      <c r="AH10" s="22"/>
      <c r="AI10" s="22"/>
      <c r="AJ10" s="22"/>
      <c r="AK10" s="22"/>
      <c r="AL10" s="22"/>
      <c r="AM10" s="22"/>
      <c r="AN10" s="22"/>
      <c r="AO10" s="22"/>
      <c r="AP10" s="22"/>
      <c r="AQ10" s="22"/>
      <c r="AR10" s="22"/>
      <c r="AS10" s="23"/>
      <c r="AT10" s="24">
        <v>0</v>
      </c>
      <c r="AU10" s="25" t="s">
        <v>73</v>
      </c>
    </row>
    <row r="11" spans="1:47" ht="110.1" customHeight="1" thickBot="1">
      <c r="A11" s="16">
        <v>11</v>
      </c>
      <c r="B11" s="17" t="s">
        <v>84</v>
      </c>
      <c r="C11" s="18" t="s">
        <v>85</v>
      </c>
      <c r="D11" s="19" t="s">
        <v>62</v>
      </c>
      <c r="E11" s="28" t="s">
        <v>86</v>
      </c>
      <c r="F11" s="29" t="s">
        <v>87</v>
      </c>
      <c r="G11" s="27">
        <v>0</v>
      </c>
      <c r="H11" s="19"/>
      <c r="I11" s="20" t="str">
        <f>VLOOKUP(B11,'[1]Action Plan XUV3XO'!A:S,19,FALSE)</f>
        <v>G</v>
      </c>
      <c r="J11" s="19" t="str">
        <f>VLOOKUP(B11,'[1]Action Plan XUV3XO'!$A:$T,20,FALSE)</f>
        <v>M&amp;M Process</v>
      </c>
      <c r="K11" s="19" t="str">
        <f>VLOOKUP(B11,'[1]Action Plan XUV3XO'!A:Q,17,FALSE)</f>
        <v>Trims</v>
      </c>
      <c r="L11" s="21" t="s">
        <v>34</v>
      </c>
      <c r="M11" s="20" t="s">
        <v>35</v>
      </c>
      <c r="N11" s="21" t="s">
        <v>27</v>
      </c>
      <c r="O11" s="21" t="str">
        <f>IF(J11="M&amp;M Process","M",IF(J11="Supplier Process","P",IF(J11="Under Analysis","U","D")))</f>
        <v>M</v>
      </c>
      <c r="P11" s="21" t="s">
        <v>88</v>
      </c>
      <c r="Q11" s="21" t="s">
        <v>89</v>
      </c>
      <c r="R11" s="22">
        <f t="shared" si="0"/>
        <v>3</v>
      </c>
      <c r="S11" s="22"/>
      <c r="T11" s="22"/>
      <c r="U11" s="22"/>
      <c r="V11" s="22"/>
      <c r="W11" s="22"/>
      <c r="X11" s="22"/>
      <c r="Y11" s="22"/>
      <c r="Z11" s="22"/>
      <c r="AA11" s="22"/>
      <c r="AB11" s="22">
        <v>3</v>
      </c>
      <c r="AC11" s="22"/>
      <c r="AD11" s="22"/>
      <c r="AE11" s="22"/>
      <c r="AF11" s="22"/>
      <c r="AG11" s="22"/>
      <c r="AH11" s="22"/>
      <c r="AI11" s="22"/>
      <c r="AJ11" s="22"/>
      <c r="AK11" s="22"/>
      <c r="AL11" s="22"/>
      <c r="AM11" s="22"/>
      <c r="AN11" s="22"/>
      <c r="AO11" s="22"/>
      <c r="AP11" s="22"/>
      <c r="AQ11" s="22"/>
      <c r="AR11" s="22"/>
      <c r="AS11" s="23"/>
      <c r="AT11" s="24">
        <v>0</v>
      </c>
      <c r="AU11" s="25" t="s">
        <v>30</v>
      </c>
    </row>
    <row r="12" spans="1:47" ht="110.1" customHeight="1" thickBot="1">
      <c r="A12" s="16">
        <v>12</v>
      </c>
      <c r="B12" s="17" t="s">
        <v>90</v>
      </c>
      <c r="C12" s="18" t="s">
        <v>91</v>
      </c>
      <c r="D12" s="19" t="s">
        <v>62</v>
      </c>
      <c r="E12" s="28">
        <v>0</v>
      </c>
      <c r="F12" s="29">
        <v>0</v>
      </c>
      <c r="G12" s="27">
        <v>0</v>
      </c>
      <c r="H12" s="19"/>
      <c r="I12" s="20" t="str">
        <f>VLOOKUP(B12,'[1]Action Plan XUV3XO'!A:S,19,FALSE)</f>
        <v>G</v>
      </c>
      <c r="J12" s="19" t="str">
        <f>VLOOKUP(B12,'[1]Action Plan XUV3XO'!$A:$T,20,FALSE)</f>
        <v>M&amp;M Process</v>
      </c>
      <c r="K12" s="19" t="str">
        <f>VLOOKUP(B12,'[1]Action Plan XUV3XO'!A:Q,17,FALSE)</f>
        <v>E&amp;E</v>
      </c>
      <c r="L12" s="21" t="s">
        <v>34</v>
      </c>
      <c r="M12" s="20" t="s">
        <v>92</v>
      </c>
      <c r="N12" s="21" t="s">
        <v>27</v>
      </c>
      <c r="O12" s="21" t="str">
        <f>IF(J12="M&amp;M Process","M",IF(J12="Supplier Process","P",IF(J12="Under Analysis","U","D")))</f>
        <v>M</v>
      </c>
      <c r="P12" s="21" t="s">
        <v>36</v>
      </c>
      <c r="Q12" s="21" t="s">
        <v>93</v>
      </c>
      <c r="R12" s="22">
        <f t="shared" si="0"/>
        <v>1</v>
      </c>
      <c r="S12" s="22"/>
      <c r="T12" s="22"/>
      <c r="U12" s="22"/>
      <c r="V12" s="22"/>
      <c r="W12" s="22"/>
      <c r="X12" s="22">
        <v>1</v>
      </c>
      <c r="Y12" s="22"/>
      <c r="Z12" s="22"/>
      <c r="AA12" s="22"/>
      <c r="AB12" s="22"/>
      <c r="AC12" s="22"/>
      <c r="AD12" s="22"/>
      <c r="AE12" s="22"/>
      <c r="AF12" s="22"/>
      <c r="AG12" s="22"/>
      <c r="AH12" s="22"/>
      <c r="AI12" s="22"/>
      <c r="AJ12" s="22"/>
      <c r="AK12" s="22"/>
      <c r="AL12" s="22"/>
      <c r="AM12" s="22"/>
      <c r="AN12" s="22"/>
      <c r="AO12" s="22"/>
      <c r="AP12" s="22"/>
      <c r="AQ12" s="22"/>
      <c r="AR12" s="22"/>
      <c r="AS12" s="23"/>
      <c r="AT12" s="24">
        <v>0</v>
      </c>
      <c r="AU12" s="25" t="s">
        <v>30</v>
      </c>
    </row>
    <row r="13" spans="1:47" ht="110.1" customHeight="1" thickBot="1">
      <c r="A13" s="16">
        <v>13</v>
      </c>
      <c r="B13" s="17" t="s">
        <v>94</v>
      </c>
      <c r="C13" s="18" t="s">
        <v>95</v>
      </c>
      <c r="D13" s="19" t="s">
        <v>62</v>
      </c>
      <c r="E13" s="28" t="s">
        <v>96</v>
      </c>
      <c r="F13" s="29" t="s">
        <v>97</v>
      </c>
      <c r="G13" s="27">
        <v>0</v>
      </c>
      <c r="H13" s="19"/>
      <c r="I13" s="20" t="str">
        <f>VLOOKUP(B13,'[1]Action Plan XUV3XO'!A:S,19,FALSE)</f>
        <v>G</v>
      </c>
      <c r="J13" s="19" t="str">
        <f>VLOOKUP(B13,'[1]Action Plan XUV3XO'!$A:$T,20,FALSE)</f>
        <v>M&amp;M Process</v>
      </c>
      <c r="K13" s="19" t="str">
        <f>VLOOKUP(B13,'[1]Action Plan XUV3XO'!A:Q,17,FALSE)</f>
        <v>Trims</v>
      </c>
      <c r="L13" s="21" t="s">
        <v>34</v>
      </c>
      <c r="M13" s="20" t="s">
        <v>98</v>
      </c>
      <c r="N13" s="21" t="s">
        <v>27</v>
      </c>
      <c r="O13" s="21" t="str">
        <f>IF(J13="M&amp;M Process","M",IF(J13="Supplier Process","P",IF(J13="Under Analysis","U","D")))</f>
        <v>M</v>
      </c>
      <c r="P13" s="21" t="s">
        <v>99</v>
      </c>
      <c r="Q13" s="21" t="s">
        <v>100</v>
      </c>
      <c r="R13" s="22">
        <f t="shared" si="0"/>
        <v>1</v>
      </c>
      <c r="S13" s="22"/>
      <c r="T13" s="22"/>
      <c r="U13" s="22"/>
      <c r="V13" s="22"/>
      <c r="W13" s="22"/>
      <c r="X13" s="22"/>
      <c r="Y13" s="22"/>
      <c r="Z13" s="22">
        <v>1</v>
      </c>
      <c r="AA13" s="22"/>
      <c r="AB13" s="22"/>
      <c r="AC13" s="22"/>
      <c r="AD13" s="22"/>
      <c r="AE13" s="22"/>
      <c r="AF13" s="22"/>
      <c r="AG13" s="22"/>
      <c r="AH13" s="22"/>
      <c r="AI13" s="22"/>
      <c r="AJ13" s="22"/>
      <c r="AK13" s="22"/>
      <c r="AL13" s="22"/>
      <c r="AM13" s="22"/>
      <c r="AN13" s="22"/>
      <c r="AO13" s="22"/>
      <c r="AP13" s="22"/>
      <c r="AQ13" s="22"/>
      <c r="AR13" s="22"/>
      <c r="AS13" s="23"/>
      <c r="AT13" s="24">
        <v>0</v>
      </c>
      <c r="AU13" s="25" t="s">
        <v>30</v>
      </c>
    </row>
    <row r="14" spans="1:47" ht="110.1" customHeight="1" thickBot="1">
      <c r="A14" s="16">
        <v>2</v>
      </c>
      <c r="B14" s="17" t="s">
        <v>101</v>
      </c>
      <c r="C14" s="18" t="s">
        <v>102</v>
      </c>
      <c r="D14" s="19" t="s">
        <v>22</v>
      </c>
      <c r="E14" s="28" t="s">
        <v>103</v>
      </c>
      <c r="F14" s="29" t="s">
        <v>104</v>
      </c>
      <c r="G14" s="27">
        <v>0</v>
      </c>
      <c r="H14" s="19"/>
      <c r="I14" s="20" t="str">
        <f>VLOOKUP(B14,'[1]Action Plan XUV3XO'!A:S,19,FALSE)</f>
        <v>G</v>
      </c>
      <c r="J14" s="19" t="str">
        <f>VLOOKUP(B14,'[1]Action Plan XUV3XO'!$A:$T,20,FALSE)</f>
        <v>M&amp;M Process</v>
      </c>
      <c r="K14" s="19" t="str">
        <f>VLOOKUP(B14,'[1]Action Plan XUV3XO'!A:Q,17,FALSE)</f>
        <v>Transmission</v>
      </c>
      <c r="L14" s="21" t="s">
        <v>34</v>
      </c>
      <c r="M14" s="20" t="s">
        <v>105</v>
      </c>
      <c r="N14" s="21" t="s">
        <v>27</v>
      </c>
      <c r="O14" s="21" t="str">
        <f>IF(J14="M&amp;M Process","M",IF(J14="Supplier Process","P",IF(J14="Under Analysis","U","D")))</f>
        <v>M</v>
      </c>
      <c r="P14" s="21" t="s">
        <v>106</v>
      </c>
      <c r="Q14" s="21" t="s">
        <v>107</v>
      </c>
      <c r="R14" s="22">
        <f t="shared" si="0"/>
        <v>1</v>
      </c>
      <c r="S14" s="22"/>
      <c r="T14" s="22"/>
      <c r="U14" s="22"/>
      <c r="V14" s="22"/>
      <c r="W14" s="22"/>
      <c r="X14" s="22"/>
      <c r="Y14" s="22"/>
      <c r="Z14" s="22"/>
      <c r="AA14" s="22">
        <v>1</v>
      </c>
      <c r="AB14" s="22"/>
      <c r="AC14" s="22"/>
      <c r="AD14" s="22"/>
      <c r="AE14" s="22"/>
      <c r="AF14" s="22"/>
      <c r="AG14" s="22"/>
      <c r="AH14" s="22"/>
      <c r="AI14" s="22"/>
      <c r="AJ14" s="22"/>
      <c r="AK14" s="22"/>
      <c r="AL14" s="22"/>
      <c r="AM14" s="22"/>
      <c r="AN14" s="22"/>
      <c r="AO14" s="22"/>
      <c r="AP14" s="22"/>
      <c r="AQ14" s="22"/>
      <c r="AR14" s="22"/>
      <c r="AS14" s="23"/>
      <c r="AT14" s="24">
        <v>0</v>
      </c>
      <c r="AU14" s="25" t="s">
        <v>30</v>
      </c>
    </row>
    <row r="15" spans="1:47" ht="110.1" customHeight="1" thickBot="1">
      <c r="A15" s="16">
        <v>14</v>
      </c>
      <c r="B15" s="17" t="s">
        <v>108</v>
      </c>
      <c r="C15" s="18" t="s">
        <v>109</v>
      </c>
      <c r="D15" s="19" t="s">
        <v>62</v>
      </c>
      <c r="E15" s="28" t="s">
        <v>110</v>
      </c>
      <c r="F15" s="29" t="s">
        <v>111</v>
      </c>
      <c r="G15" s="27">
        <v>0</v>
      </c>
      <c r="H15" s="19"/>
      <c r="I15" s="20" t="str">
        <f>VLOOKUP(B15,'[1]Action Plan XUV3XO'!A:S,19,FALSE)</f>
        <v>G</v>
      </c>
      <c r="J15" s="19" t="str">
        <f>VLOOKUP(B15,'[1]Action Plan XUV3XO'!$A:$T,20,FALSE)</f>
        <v>M&amp;M Process</v>
      </c>
      <c r="K15" s="19" t="str">
        <f>VLOOKUP(B15,'[1]Action Plan XUV3XO'!A:Q,17,FALSE)</f>
        <v>Trims</v>
      </c>
      <c r="L15" s="21" t="s">
        <v>34</v>
      </c>
      <c r="M15" s="20" t="s">
        <v>105</v>
      </c>
      <c r="N15" s="21" t="s">
        <v>27</v>
      </c>
      <c r="O15" s="21" t="str">
        <f>IF(J15="M&amp;M Process","M",IF(J15="Supplier Process","P",IF(J15="Under Analysis","U","D")))</f>
        <v>M</v>
      </c>
      <c r="P15" s="21" t="s">
        <v>112</v>
      </c>
      <c r="Q15" s="21" t="s">
        <v>113</v>
      </c>
      <c r="R15" s="22">
        <f t="shared" si="0"/>
        <v>3</v>
      </c>
      <c r="S15" s="22"/>
      <c r="T15" s="22"/>
      <c r="U15" s="22"/>
      <c r="V15" s="22"/>
      <c r="W15" s="22"/>
      <c r="X15" s="22">
        <v>1</v>
      </c>
      <c r="Y15" s="22"/>
      <c r="Z15" s="22"/>
      <c r="AA15" s="22"/>
      <c r="AB15" s="22">
        <v>1</v>
      </c>
      <c r="AC15" s="22"/>
      <c r="AD15" s="22">
        <v>1</v>
      </c>
      <c r="AE15" s="22"/>
      <c r="AF15" s="22"/>
      <c r="AG15" s="22"/>
      <c r="AH15" s="22"/>
      <c r="AI15" s="22"/>
      <c r="AJ15" s="22"/>
      <c r="AK15" s="22"/>
      <c r="AL15" s="22"/>
      <c r="AM15" s="22"/>
      <c r="AN15" s="22"/>
      <c r="AO15" s="22"/>
      <c r="AP15" s="22"/>
      <c r="AQ15" s="22"/>
      <c r="AR15" s="22"/>
      <c r="AS15" s="23"/>
      <c r="AT15" s="24">
        <v>0</v>
      </c>
      <c r="AU15" s="25" t="s">
        <v>30</v>
      </c>
    </row>
    <row r="16" spans="1:47" ht="123" customHeight="1" thickBot="1">
      <c r="A16" s="16">
        <v>15</v>
      </c>
      <c r="B16" s="17" t="s">
        <v>114</v>
      </c>
      <c r="C16" s="18" t="s">
        <v>115</v>
      </c>
      <c r="D16" s="19" t="s">
        <v>62</v>
      </c>
      <c r="E16" s="28" t="s">
        <v>116</v>
      </c>
      <c r="F16" s="29" t="s">
        <v>117</v>
      </c>
      <c r="G16" s="27">
        <v>0</v>
      </c>
      <c r="H16" s="19"/>
      <c r="I16" s="20" t="str">
        <f>VLOOKUP(B16,'[1]Action Plan XUV3XO'!A:S,19,FALSE)</f>
        <v>G</v>
      </c>
      <c r="J16" s="19" t="str">
        <f>VLOOKUP(B16,'[1]Action Plan XUV3XO'!$A:$T,20,FALSE)</f>
        <v>M&amp;M Process</v>
      </c>
      <c r="K16" s="19" t="str">
        <f>VLOOKUP(B16,'[1]Action Plan XUV3XO'!A:Q,17,FALSE)</f>
        <v>HVAC</v>
      </c>
      <c r="L16" s="21" t="s">
        <v>34</v>
      </c>
      <c r="M16" s="20" t="s">
        <v>118</v>
      </c>
      <c r="N16" s="21" t="s">
        <v>27</v>
      </c>
      <c r="O16" s="21" t="str">
        <f>IF(J16="M&amp;M Process","M",IF(J16="Supplier Process","P",IF(J16="Under Analysis","U","D")))</f>
        <v>M</v>
      </c>
      <c r="P16" s="21" t="s">
        <v>119</v>
      </c>
      <c r="Q16" s="21" t="s">
        <v>120</v>
      </c>
      <c r="R16" s="22">
        <f t="shared" si="0"/>
        <v>13</v>
      </c>
      <c r="S16" s="22"/>
      <c r="T16" s="22"/>
      <c r="U16" s="22"/>
      <c r="V16" s="22"/>
      <c r="W16" s="22">
        <v>5</v>
      </c>
      <c r="X16" s="22">
        <v>1</v>
      </c>
      <c r="Y16" s="22">
        <v>3</v>
      </c>
      <c r="Z16" s="22">
        <v>1</v>
      </c>
      <c r="AA16" s="22"/>
      <c r="AB16" s="22"/>
      <c r="AC16" s="22">
        <v>1</v>
      </c>
      <c r="AD16" s="22"/>
      <c r="AE16" s="22"/>
      <c r="AF16" s="22">
        <v>2</v>
      </c>
      <c r="AG16" s="22"/>
      <c r="AH16" s="22"/>
      <c r="AI16" s="22"/>
      <c r="AJ16" s="22"/>
      <c r="AK16" s="22"/>
      <c r="AL16" s="22"/>
      <c r="AM16" s="22"/>
      <c r="AN16" s="22"/>
      <c r="AO16" s="22"/>
      <c r="AP16" s="22"/>
      <c r="AQ16" s="22"/>
      <c r="AR16" s="22"/>
      <c r="AS16" s="23"/>
      <c r="AT16" s="24">
        <v>0</v>
      </c>
      <c r="AU16" s="25" t="s">
        <v>30</v>
      </c>
    </row>
    <row r="17" spans="1:47" ht="110.1" customHeight="1" thickBot="1">
      <c r="A17" s="16">
        <v>16</v>
      </c>
      <c r="B17" s="17" t="s">
        <v>121</v>
      </c>
      <c r="C17" s="18" t="s">
        <v>122</v>
      </c>
      <c r="D17" s="19" t="s">
        <v>62</v>
      </c>
      <c r="E17" s="28" t="s">
        <v>123</v>
      </c>
      <c r="F17" s="29" t="s">
        <v>124</v>
      </c>
      <c r="G17" s="27">
        <v>0</v>
      </c>
      <c r="H17" s="19"/>
      <c r="I17" s="20" t="str">
        <f>VLOOKUP(B17,'[1]Action Plan XUV3XO'!A:S,19,FALSE)</f>
        <v>R</v>
      </c>
      <c r="J17" s="19" t="str">
        <f>VLOOKUP(B17,'[1]Action Plan XUV3XO'!$A:$T,20,FALSE)</f>
        <v>M&amp;M Process</v>
      </c>
      <c r="K17" s="19" t="str">
        <f>VLOOKUP(B17,'[1]Action Plan XUV3XO'!A:Q,17,FALSE)</f>
        <v>GSM</v>
      </c>
      <c r="L17" s="21" t="s">
        <v>34</v>
      </c>
      <c r="M17" s="20" t="s">
        <v>125</v>
      </c>
      <c r="N17" s="21" t="s">
        <v>27</v>
      </c>
      <c r="O17" s="21" t="str">
        <f>IF(J17="M&amp;M Process","M",IF(J17="Supplier Process","P",IF(J17="Under Analysis","U","D")))</f>
        <v>M</v>
      </c>
      <c r="P17" s="21" t="s">
        <v>126</v>
      </c>
      <c r="Q17" s="21" t="s">
        <v>127</v>
      </c>
      <c r="R17" s="22">
        <f t="shared" si="0"/>
        <v>4</v>
      </c>
      <c r="S17" s="22"/>
      <c r="T17" s="22"/>
      <c r="U17" s="22"/>
      <c r="V17" s="22"/>
      <c r="W17" s="22"/>
      <c r="X17" s="22"/>
      <c r="Y17" s="22"/>
      <c r="Z17" s="22">
        <v>1</v>
      </c>
      <c r="AA17" s="22">
        <v>2</v>
      </c>
      <c r="AB17" s="22"/>
      <c r="AC17" s="22"/>
      <c r="AD17" s="22"/>
      <c r="AE17" s="22"/>
      <c r="AF17" s="22"/>
      <c r="AG17" s="22"/>
      <c r="AH17" s="22"/>
      <c r="AI17" s="22"/>
      <c r="AJ17" s="22"/>
      <c r="AK17" s="22"/>
      <c r="AL17" s="22"/>
      <c r="AM17" s="22"/>
      <c r="AN17" s="22"/>
      <c r="AO17" s="22">
        <v>1</v>
      </c>
      <c r="AP17" s="22">
        <v>0</v>
      </c>
      <c r="AQ17" s="22">
        <v>0</v>
      </c>
      <c r="AR17" s="22">
        <v>0</v>
      </c>
      <c r="AS17" s="23"/>
      <c r="AT17" s="24">
        <v>0</v>
      </c>
      <c r="AU17" s="25" t="s">
        <v>30</v>
      </c>
    </row>
    <row r="18" spans="1:47" ht="110.1" customHeight="1" thickBot="1">
      <c r="A18" s="16">
        <v>17</v>
      </c>
      <c r="B18" s="17" t="s">
        <v>128</v>
      </c>
      <c r="C18" s="18" t="s">
        <v>129</v>
      </c>
      <c r="D18" s="19" t="s">
        <v>62</v>
      </c>
      <c r="E18" s="28" t="s">
        <v>130</v>
      </c>
      <c r="F18" s="29" t="s">
        <v>131</v>
      </c>
      <c r="G18" s="27">
        <v>0</v>
      </c>
      <c r="H18" s="19"/>
      <c r="I18" s="20" t="str">
        <f>VLOOKUP(B18,'[1]Action Plan XUV3XO'!A:S,19,FALSE)</f>
        <v>G</v>
      </c>
      <c r="J18" s="19" t="str">
        <f>VLOOKUP(B18,'[1]Action Plan XUV3XO'!$A:$T,20,FALSE)</f>
        <v>M&amp;M Process</v>
      </c>
      <c r="K18" s="19" t="str">
        <f>VLOOKUP(B18,'[1]Action Plan XUV3XO'!A:Q,17,FALSE)</f>
        <v>HVAC</v>
      </c>
      <c r="L18" s="21" t="s">
        <v>34</v>
      </c>
      <c r="M18" s="20" t="s">
        <v>118</v>
      </c>
      <c r="N18" s="21" t="s">
        <v>27</v>
      </c>
      <c r="O18" s="21" t="str">
        <f>IF(J18="M&amp;M Process","M",IF(J18="Supplier Process","P",IF(J18="Under Analysis","U","D")))</f>
        <v>M</v>
      </c>
      <c r="P18" s="21" t="s">
        <v>132</v>
      </c>
      <c r="Q18" s="21" t="s">
        <v>127</v>
      </c>
      <c r="R18" s="22">
        <f t="shared" si="0"/>
        <v>1</v>
      </c>
      <c r="S18" s="22"/>
      <c r="T18" s="22"/>
      <c r="U18" s="22"/>
      <c r="V18" s="22"/>
      <c r="W18" s="22"/>
      <c r="X18" s="22">
        <v>1</v>
      </c>
      <c r="Y18" s="22"/>
      <c r="Z18" s="22"/>
      <c r="AA18" s="22"/>
      <c r="AB18" s="22"/>
      <c r="AC18" s="22"/>
      <c r="AD18" s="22"/>
      <c r="AE18" s="22"/>
      <c r="AF18" s="22"/>
      <c r="AG18" s="22"/>
      <c r="AH18" s="22"/>
      <c r="AI18" s="22"/>
      <c r="AJ18" s="22"/>
      <c r="AK18" s="22"/>
      <c r="AL18" s="22"/>
      <c r="AM18" s="22"/>
      <c r="AN18" s="22"/>
      <c r="AO18" s="22"/>
      <c r="AP18" s="22"/>
      <c r="AQ18" s="22"/>
      <c r="AR18" s="22"/>
      <c r="AS18" s="23"/>
      <c r="AT18" s="24">
        <v>0</v>
      </c>
      <c r="AU18" s="25" t="s">
        <v>30</v>
      </c>
    </row>
    <row r="19" spans="1:47" ht="110.1" customHeight="1" thickBot="1">
      <c r="A19" s="16">
        <v>19</v>
      </c>
      <c r="B19" s="17" t="s">
        <v>133</v>
      </c>
      <c r="C19" s="18" t="s">
        <v>134</v>
      </c>
      <c r="D19" s="19" t="s">
        <v>62</v>
      </c>
      <c r="E19" s="28" t="s">
        <v>135</v>
      </c>
      <c r="F19" s="29" t="s">
        <v>136</v>
      </c>
      <c r="G19" s="27">
        <v>0</v>
      </c>
      <c r="H19" s="19"/>
      <c r="I19" s="20" t="str">
        <f>VLOOKUP(B19,'[1]Action Plan XUV3XO'!A:S,19,FALSE)</f>
        <v>R</v>
      </c>
      <c r="J19" s="19" t="str">
        <f>VLOOKUP(B19,'[1]Action Plan XUV3XO'!$A:$T,20,FALSE)</f>
        <v>M&amp;M Design</v>
      </c>
      <c r="K19" s="19" t="str">
        <f>VLOOKUP(B19,'[1]Action Plan XUV3XO'!A:Q,17,FALSE)</f>
        <v>EATS</v>
      </c>
      <c r="L19" s="21" t="s">
        <v>42</v>
      </c>
      <c r="M19" s="20" t="s">
        <v>137</v>
      </c>
      <c r="N19" s="21" t="s">
        <v>27</v>
      </c>
      <c r="O19" s="21" t="str">
        <f>IF(J19="M&amp;M Process","M",IF(J19="Supplier Process","P",IF(J19="Under Analysis","U","D")))</f>
        <v>D</v>
      </c>
      <c r="P19" s="21" t="s">
        <v>138</v>
      </c>
      <c r="Q19" s="21" t="s">
        <v>127</v>
      </c>
      <c r="R19" s="22">
        <f t="shared" si="0"/>
        <v>59</v>
      </c>
      <c r="S19" s="22"/>
      <c r="T19" s="22"/>
      <c r="U19" s="22"/>
      <c r="V19" s="22"/>
      <c r="W19" s="22"/>
      <c r="X19" s="22">
        <v>7</v>
      </c>
      <c r="Y19" s="22">
        <v>11</v>
      </c>
      <c r="Z19" s="22">
        <v>19</v>
      </c>
      <c r="AA19" s="22">
        <v>6</v>
      </c>
      <c r="AB19" s="22">
        <v>4</v>
      </c>
      <c r="AC19" s="22">
        <v>3</v>
      </c>
      <c r="AD19" s="22">
        <v>3</v>
      </c>
      <c r="AE19" s="22">
        <v>6</v>
      </c>
      <c r="AF19" s="22"/>
      <c r="AG19" s="22"/>
      <c r="AH19" s="22"/>
      <c r="AI19" s="22"/>
      <c r="AJ19" s="22"/>
      <c r="AK19" s="22"/>
      <c r="AL19" s="22"/>
      <c r="AM19" s="22"/>
      <c r="AN19" s="22"/>
      <c r="AO19" s="22"/>
      <c r="AP19" s="22"/>
      <c r="AQ19" s="22"/>
      <c r="AR19" s="22"/>
      <c r="AS19" s="23"/>
      <c r="AT19" s="24">
        <v>0</v>
      </c>
      <c r="AU19" s="25" t="s">
        <v>73</v>
      </c>
    </row>
    <row r="20" spans="1:47" ht="110.1" customHeight="1" thickBot="1">
      <c r="A20" s="16">
        <v>20</v>
      </c>
      <c r="B20" s="17" t="s">
        <v>139</v>
      </c>
      <c r="C20" s="18" t="s">
        <v>140</v>
      </c>
      <c r="D20" s="19" t="s">
        <v>22</v>
      </c>
      <c r="E20" s="28">
        <v>0</v>
      </c>
      <c r="F20" s="29">
        <v>0</v>
      </c>
      <c r="G20" s="27">
        <v>0</v>
      </c>
      <c r="H20" s="19"/>
      <c r="I20" s="20" t="str">
        <f>VLOOKUP(B20,'[1]Action Plan XUV3XO'!A:S,19,FALSE)</f>
        <v>G</v>
      </c>
      <c r="J20" s="19" t="str">
        <f>VLOOKUP(B20,'[1]Action Plan XUV3XO'!$A:$T,20,FALSE)</f>
        <v>Supplier Process</v>
      </c>
      <c r="K20" s="19" t="str">
        <f>VLOOKUP(B20,'[1]Action Plan XUV3XO'!A:Q,17,FALSE)</f>
        <v>E&amp;E</v>
      </c>
      <c r="L20" s="21" t="s">
        <v>42</v>
      </c>
      <c r="M20" s="20" t="s">
        <v>137</v>
      </c>
      <c r="N20" s="21" t="s">
        <v>27</v>
      </c>
      <c r="O20" s="21" t="str">
        <f>IF(J20="M&amp;M Process","M",IF(J20="Supplier Process","P",IF(J20="Under Analysis","U","D")))</f>
        <v>P</v>
      </c>
      <c r="P20" s="21" t="s">
        <v>141</v>
      </c>
      <c r="Q20" s="21" t="s">
        <v>29</v>
      </c>
      <c r="R20" s="22">
        <f t="shared" si="0"/>
        <v>11</v>
      </c>
      <c r="S20" s="22"/>
      <c r="T20" s="22"/>
      <c r="U20" s="22"/>
      <c r="V20" s="22"/>
      <c r="W20" s="22"/>
      <c r="X20" s="22"/>
      <c r="Y20" s="22">
        <v>0</v>
      </c>
      <c r="Z20" s="22">
        <v>1</v>
      </c>
      <c r="AA20" s="22">
        <v>4</v>
      </c>
      <c r="AB20" s="22">
        <v>2</v>
      </c>
      <c r="AC20" s="22">
        <v>3</v>
      </c>
      <c r="AD20" s="22">
        <v>1</v>
      </c>
      <c r="AE20" s="22"/>
      <c r="AF20" s="22"/>
      <c r="AG20" s="22"/>
      <c r="AH20" s="22"/>
      <c r="AI20" s="22"/>
      <c r="AJ20" s="22"/>
      <c r="AK20" s="22"/>
      <c r="AL20" s="22"/>
      <c r="AM20" s="22"/>
      <c r="AN20" s="22"/>
      <c r="AO20" s="22"/>
      <c r="AP20" s="22"/>
      <c r="AQ20" s="22"/>
      <c r="AR20" s="22"/>
      <c r="AS20" s="23"/>
      <c r="AT20" s="24">
        <v>0</v>
      </c>
      <c r="AU20" s="25" t="s">
        <v>30</v>
      </c>
    </row>
    <row r="21" spans="1:47" ht="110.1" customHeight="1" thickBot="1">
      <c r="A21" s="16">
        <v>21</v>
      </c>
      <c r="B21" s="17" t="s">
        <v>142</v>
      </c>
      <c r="C21" s="18" t="s">
        <v>143</v>
      </c>
      <c r="D21" s="19" t="s">
        <v>62</v>
      </c>
      <c r="E21" s="28" t="s">
        <v>144</v>
      </c>
      <c r="F21" s="29" t="s">
        <v>145</v>
      </c>
      <c r="G21" s="27">
        <v>0</v>
      </c>
      <c r="H21" s="19"/>
      <c r="I21" s="20" t="str">
        <f>VLOOKUP(B21,'[1]Action Plan XUV3XO'!A:S,19,FALSE)</f>
        <v>G</v>
      </c>
      <c r="J21" s="19" t="str">
        <f>VLOOKUP(B21,'[1]Action Plan XUV3XO'!$A:$T,20,FALSE)</f>
        <v>M&amp;M Process</v>
      </c>
      <c r="K21" s="19" t="str">
        <f>VLOOKUP(B21,'[1]Action Plan XUV3XO'!A:Q,17,FALSE)</f>
        <v>Air Intake</v>
      </c>
      <c r="L21" s="21" t="s">
        <v>42</v>
      </c>
      <c r="M21" s="20" t="s">
        <v>137</v>
      </c>
      <c r="N21" s="21" t="s">
        <v>27</v>
      </c>
      <c r="O21" s="21" t="str">
        <f>IF(J21="M&amp;M Process","M",IF(J21="Supplier Process","P",IF(J21="Under Analysis","U","D")))</f>
        <v>M</v>
      </c>
      <c r="P21" s="21" t="s">
        <v>146</v>
      </c>
      <c r="Q21" s="21" t="s">
        <v>53</v>
      </c>
      <c r="R21" s="22">
        <f t="shared" si="0"/>
        <v>3</v>
      </c>
      <c r="S21" s="22"/>
      <c r="T21" s="22"/>
      <c r="U21" s="22"/>
      <c r="V21" s="22"/>
      <c r="W21" s="22"/>
      <c r="X21" s="22">
        <v>2</v>
      </c>
      <c r="Y21" s="22"/>
      <c r="Z21" s="22"/>
      <c r="AA21" s="22">
        <v>1</v>
      </c>
      <c r="AB21" s="22"/>
      <c r="AC21" s="22"/>
      <c r="AD21" s="22"/>
      <c r="AE21" s="22"/>
      <c r="AF21" s="22"/>
      <c r="AG21" s="22"/>
      <c r="AH21" s="22"/>
      <c r="AI21" s="22"/>
      <c r="AJ21" s="22"/>
      <c r="AK21" s="22"/>
      <c r="AL21" s="22"/>
      <c r="AM21" s="22"/>
      <c r="AN21" s="22"/>
      <c r="AO21" s="22"/>
      <c r="AP21" s="22"/>
      <c r="AQ21" s="22"/>
      <c r="AR21" s="22"/>
      <c r="AS21" s="23"/>
      <c r="AT21" s="24">
        <v>0</v>
      </c>
      <c r="AU21" s="25" t="s">
        <v>30</v>
      </c>
    </row>
    <row r="22" spans="1:47" ht="110.1" customHeight="1" thickBot="1">
      <c r="A22" s="16">
        <v>6</v>
      </c>
      <c r="B22" s="17" t="s">
        <v>147</v>
      </c>
      <c r="C22" s="18" t="s">
        <v>148</v>
      </c>
      <c r="D22" s="19" t="s">
        <v>22</v>
      </c>
      <c r="E22" s="28" t="s">
        <v>149</v>
      </c>
      <c r="F22" s="29" t="s">
        <v>150</v>
      </c>
      <c r="G22" s="27">
        <v>0</v>
      </c>
      <c r="H22" s="19"/>
      <c r="I22" s="20" t="str">
        <f>VLOOKUP(B22,'[1]Action Plan XUV3XO'!A:S,19,FALSE)</f>
        <v>G</v>
      </c>
      <c r="J22" s="19" t="str">
        <f>VLOOKUP(B22,'[1]Action Plan XUV3XO'!$A:$T,20,FALSE)</f>
        <v>M&amp;M Process</v>
      </c>
      <c r="K22" s="19" t="str">
        <f>VLOOKUP(B22,'[1]Action Plan XUV3XO'!A:Q,17,FALSE)</f>
        <v>Mounts</v>
      </c>
      <c r="L22" s="21" t="s">
        <v>63</v>
      </c>
      <c r="M22" s="20" t="s">
        <v>151</v>
      </c>
      <c r="N22" s="21" t="s">
        <v>27</v>
      </c>
      <c r="O22" s="21" t="str">
        <f>IF(J22="M&amp;M Process","M",IF(J22="Supplier Process","P",IF(J22="Under Analysis","U","D")))</f>
        <v>M</v>
      </c>
      <c r="P22" s="21" t="s">
        <v>44</v>
      </c>
      <c r="Q22" s="21" t="s">
        <v>45</v>
      </c>
      <c r="R22" s="22">
        <f t="shared" si="0"/>
        <v>1</v>
      </c>
      <c r="S22" s="22"/>
      <c r="T22" s="22"/>
      <c r="U22" s="22"/>
      <c r="V22" s="22"/>
      <c r="W22" s="22"/>
      <c r="X22" s="22">
        <v>1</v>
      </c>
      <c r="Y22" s="22"/>
      <c r="Z22" s="22"/>
      <c r="AA22" s="22"/>
      <c r="AB22" s="22"/>
      <c r="AC22" s="22"/>
      <c r="AD22" s="22"/>
      <c r="AE22" s="22"/>
      <c r="AF22" s="22"/>
      <c r="AG22" s="22"/>
      <c r="AH22" s="22"/>
      <c r="AI22" s="22"/>
      <c r="AJ22" s="22"/>
      <c r="AK22" s="22"/>
      <c r="AL22" s="22"/>
      <c r="AM22" s="22"/>
      <c r="AN22" s="22"/>
      <c r="AO22" s="22"/>
      <c r="AP22" s="22"/>
      <c r="AQ22" s="22"/>
      <c r="AR22" s="22"/>
      <c r="AS22" s="23"/>
      <c r="AT22" s="24">
        <v>0</v>
      </c>
      <c r="AU22" s="25" t="s">
        <v>30</v>
      </c>
    </row>
    <row r="23" spans="1:47" ht="110.1" customHeight="1" thickBot="1">
      <c r="A23" s="16">
        <v>23</v>
      </c>
      <c r="B23" s="17" t="s">
        <v>152</v>
      </c>
      <c r="C23" s="18" t="s">
        <v>153</v>
      </c>
      <c r="D23" s="19" t="s">
        <v>62</v>
      </c>
      <c r="E23" s="28">
        <v>0</v>
      </c>
      <c r="F23" s="29">
        <v>0</v>
      </c>
      <c r="G23" s="27">
        <v>0</v>
      </c>
      <c r="H23" s="19"/>
      <c r="I23" s="20" t="str">
        <f>VLOOKUP(B23,'[1]Action Plan XUV3XO'!A:S,19,FALSE)</f>
        <v>G</v>
      </c>
      <c r="J23" s="19" t="str">
        <f>VLOOKUP(B23,'[1]Action Plan XUV3XO'!$A:$T,20,FALSE)</f>
        <v>M&amp;M Process</v>
      </c>
      <c r="K23" s="19" t="str">
        <f>VLOOKUP(B23,'[1]Action Plan XUV3XO'!A:Q,17,FALSE)</f>
        <v>Brakes</v>
      </c>
      <c r="L23" s="21" t="s">
        <v>63</v>
      </c>
      <c r="M23" s="20" t="s">
        <v>154</v>
      </c>
      <c r="N23" s="21" t="s">
        <v>27</v>
      </c>
      <c r="O23" s="21" t="str">
        <f>IF(J23="M&amp;M Process","M",IF(J23="Supplier Process","P",IF(J23="Under Analysis","U","D")))</f>
        <v>M</v>
      </c>
      <c r="P23" s="21" t="s">
        <v>155</v>
      </c>
      <c r="Q23" s="21" t="s">
        <v>156</v>
      </c>
      <c r="R23" s="22">
        <f t="shared" si="0"/>
        <v>1</v>
      </c>
      <c r="S23" s="22"/>
      <c r="T23" s="22"/>
      <c r="U23" s="22"/>
      <c r="V23" s="22"/>
      <c r="W23" s="22">
        <v>1</v>
      </c>
      <c r="X23" s="22"/>
      <c r="Y23" s="22"/>
      <c r="Z23" s="22"/>
      <c r="AA23" s="22"/>
      <c r="AB23" s="22"/>
      <c r="AC23" s="22"/>
      <c r="AD23" s="22"/>
      <c r="AE23" s="22"/>
      <c r="AF23" s="22"/>
      <c r="AG23" s="22"/>
      <c r="AH23" s="22"/>
      <c r="AI23" s="22"/>
      <c r="AJ23" s="22"/>
      <c r="AK23" s="22"/>
      <c r="AL23" s="22"/>
      <c r="AM23" s="22"/>
      <c r="AN23" s="22"/>
      <c r="AO23" s="22"/>
      <c r="AP23" s="22"/>
      <c r="AQ23" s="22"/>
      <c r="AR23" s="22"/>
      <c r="AS23" s="23"/>
      <c r="AT23" s="24">
        <v>0</v>
      </c>
      <c r="AU23" s="25" t="s">
        <v>30</v>
      </c>
    </row>
    <row r="24" spans="1:47" ht="110.1" customHeight="1" thickBot="1">
      <c r="A24" s="16">
        <v>24</v>
      </c>
      <c r="B24" s="17" t="s">
        <v>157</v>
      </c>
      <c r="C24" s="18" t="s">
        <v>158</v>
      </c>
      <c r="D24" s="19" t="s">
        <v>62</v>
      </c>
      <c r="E24" s="28" t="s">
        <v>159</v>
      </c>
      <c r="F24" s="29" t="s">
        <v>160</v>
      </c>
      <c r="G24" s="27">
        <v>0</v>
      </c>
      <c r="H24" s="19"/>
      <c r="I24" s="20" t="str">
        <f>VLOOKUP(B24,'[1]Action Plan XUV3XO'!A:S,19,FALSE)</f>
        <v>G</v>
      </c>
      <c r="J24" s="19" t="str">
        <f>VLOOKUP(B24,'[1]Action Plan XUV3XO'!$A:$T,20,FALSE)</f>
        <v>M&amp;M Process</v>
      </c>
      <c r="K24" s="19" t="str">
        <f>VLOOKUP(B24,'[1]Action Plan XUV3XO'!A:Q,17,FALSE)</f>
        <v>E&amp;E</v>
      </c>
      <c r="L24" s="21" t="s">
        <v>63</v>
      </c>
      <c r="M24" s="20" t="s">
        <v>161</v>
      </c>
      <c r="N24" s="21" t="s">
        <v>27</v>
      </c>
      <c r="O24" s="21" t="str">
        <f>IF(J24="M&amp;M Process","M",IF(J24="Supplier Process","P",IF(J24="Under Analysis","U","D")))</f>
        <v>M</v>
      </c>
      <c r="P24" s="21" t="s">
        <v>162</v>
      </c>
      <c r="Q24" s="21" t="s">
        <v>163</v>
      </c>
      <c r="R24" s="22">
        <f t="shared" si="0"/>
        <v>1</v>
      </c>
      <c r="S24" s="22"/>
      <c r="T24" s="22"/>
      <c r="U24" s="22"/>
      <c r="V24" s="22"/>
      <c r="W24" s="22"/>
      <c r="X24" s="22"/>
      <c r="Y24" s="22">
        <v>1</v>
      </c>
      <c r="Z24" s="22"/>
      <c r="AA24" s="22"/>
      <c r="AB24" s="22"/>
      <c r="AC24" s="22"/>
      <c r="AD24" s="22"/>
      <c r="AE24" s="22"/>
      <c r="AF24" s="22"/>
      <c r="AG24" s="22"/>
      <c r="AH24" s="22"/>
      <c r="AI24" s="22"/>
      <c r="AJ24" s="22"/>
      <c r="AK24" s="22"/>
      <c r="AL24" s="22"/>
      <c r="AM24" s="22"/>
      <c r="AN24" s="22"/>
      <c r="AO24" s="22"/>
      <c r="AP24" s="22"/>
      <c r="AQ24" s="22"/>
      <c r="AR24" s="22"/>
      <c r="AS24" s="23"/>
      <c r="AT24" s="24">
        <v>0</v>
      </c>
      <c r="AU24" s="25" t="s">
        <v>30</v>
      </c>
    </row>
    <row r="25" spans="1:47" ht="110.1" customHeight="1" thickBot="1">
      <c r="A25" s="16">
        <v>25</v>
      </c>
      <c r="B25" s="17" t="s">
        <v>164</v>
      </c>
      <c r="C25" s="18" t="s">
        <v>165</v>
      </c>
      <c r="D25" s="19" t="s">
        <v>22</v>
      </c>
      <c r="E25" s="28" t="s">
        <v>33</v>
      </c>
      <c r="F25" s="29" t="s">
        <v>33</v>
      </c>
      <c r="G25" s="27">
        <v>0</v>
      </c>
      <c r="H25" s="19"/>
      <c r="I25" s="20" t="str">
        <f>VLOOKUP(B25,'[1]Action Plan XUV3XO'!A:S,19,FALSE)</f>
        <v>G</v>
      </c>
      <c r="J25" s="19" t="str">
        <f>VLOOKUP(B25,'[1]Action Plan XUV3XO'!$A:$T,20,FALSE)</f>
        <v>Supplier Process</v>
      </c>
      <c r="K25" s="19" t="str">
        <f>VLOOKUP(B25,'[1]Action Plan XUV3XO'!A:Q,17,FALSE)</f>
        <v>E&amp;E</v>
      </c>
      <c r="L25" s="21" t="s">
        <v>166</v>
      </c>
      <c r="M25" s="20" t="s">
        <v>167</v>
      </c>
      <c r="N25" s="21" t="s">
        <v>27</v>
      </c>
      <c r="O25" s="21" t="str">
        <f>IF(J25="M&amp;M Process","M",IF(J25="Supplier Process","P",IF(J25="Under Analysis","U","D")))</f>
        <v>P</v>
      </c>
      <c r="P25" s="21" t="s">
        <v>168</v>
      </c>
      <c r="Q25" s="21" t="s">
        <v>53</v>
      </c>
      <c r="R25" s="22">
        <f t="shared" si="0"/>
        <v>1</v>
      </c>
      <c r="S25" s="22"/>
      <c r="T25" s="22"/>
      <c r="U25" s="22"/>
      <c r="V25" s="22"/>
      <c r="W25" s="22"/>
      <c r="X25" s="22">
        <v>1</v>
      </c>
      <c r="Y25" s="22"/>
      <c r="Z25" s="22"/>
      <c r="AA25" s="22"/>
      <c r="AB25" s="22"/>
      <c r="AC25" s="22"/>
      <c r="AD25" s="22"/>
      <c r="AE25" s="22"/>
      <c r="AF25" s="22"/>
      <c r="AG25" s="22"/>
      <c r="AH25" s="22"/>
      <c r="AI25" s="22"/>
      <c r="AJ25" s="22"/>
      <c r="AK25" s="22"/>
      <c r="AL25" s="22"/>
      <c r="AM25" s="22"/>
      <c r="AN25" s="22"/>
      <c r="AO25" s="22"/>
      <c r="AP25" s="22"/>
      <c r="AQ25" s="22"/>
      <c r="AR25" s="22"/>
      <c r="AS25" s="23"/>
      <c r="AT25" s="24">
        <v>0</v>
      </c>
      <c r="AU25" s="25" t="s">
        <v>30</v>
      </c>
    </row>
    <row r="26" spans="1:47" ht="110.1" customHeight="1" thickBot="1">
      <c r="A26" s="16">
        <v>26</v>
      </c>
      <c r="B26" s="17" t="s">
        <v>169</v>
      </c>
      <c r="C26" s="18" t="s">
        <v>170</v>
      </c>
      <c r="D26" s="19" t="s">
        <v>62</v>
      </c>
      <c r="E26" s="28" t="s">
        <v>171</v>
      </c>
      <c r="F26" s="29">
        <v>0</v>
      </c>
      <c r="G26" s="27">
        <v>0</v>
      </c>
      <c r="H26" s="19"/>
      <c r="I26" s="20" t="str">
        <f>VLOOKUP(B26,'[1]Action Plan XUV3XO'!A:S,19,FALSE)</f>
        <v>R</v>
      </c>
      <c r="J26" s="19" t="str">
        <f>VLOOKUP(B26,'[1]Action Plan XUV3XO'!$A:$T,20,FALSE)</f>
        <v>Under Analysis</v>
      </c>
      <c r="K26" s="19" t="str">
        <f>VLOOKUP(B26,'[1]Action Plan XUV3XO'!A:Q,17,FALSE)</f>
        <v>E&amp;E</v>
      </c>
      <c r="L26" s="21" t="s">
        <v>166</v>
      </c>
      <c r="M26" s="20" t="s">
        <v>172</v>
      </c>
      <c r="N26" s="21" t="s">
        <v>27</v>
      </c>
      <c r="O26" s="21" t="str">
        <f>IF(J26="M&amp;M Process","M",IF(J26="Supplier Process","P",IF(J26="Under Analysis","U","D")))</f>
        <v>U</v>
      </c>
      <c r="P26" s="21" t="s">
        <v>173</v>
      </c>
      <c r="Q26" s="21" t="s">
        <v>174</v>
      </c>
      <c r="R26" s="22">
        <f t="shared" si="0"/>
        <v>141</v>
      </c>
      <c r="S26" s="22"/>
      <c r="T26" s="22"/>
      <c r="U26" s="22"/>
      <c r="V26" s="22"/>
      <c r="W26" s="22"/>
      <c r="X26" s="22"/>
      <c r="Y26" s="22">
        <v>6</v>
      </c>
      <c r="Z26" s="22">
        <v>5</v>
      </c>
      <c r="AA26" s="22">
        <v>10</v>
      </c>
      <c r="AB26" s="22">
        <v>24</v>
      </c>
      <c r="AC26" s="22">
        <v>20</v>
      </c>
      <c r="AD26" s="22">
        <v>16</v>
      </c>
      <c r="AE26" s="22">
        <v>26</v>
      </c>
      <c r="AF26" s="22">
        <v>4</v>
      </c>
      <c r="AG26" s="22">
        <v>8</v>
      </c>
      <c r="AH26" s="22">
        <v>4</v>
      </c>
      <c r="AI26" s="22">
        <v>2</v>
      </c>
      <c r="AJ26" s="22">
        <v>5</v>
      </c>
      <c r="AK26" s="22">
        <v>5</v>
      </c>
      <c r="AL26" s="22">
        <v>1</v>
      </c>
      <c r="AM26" s="22">
        <v>1</v>
      </c>
      <c r="AN26" s="22">
        <v>1</v>
      </c>
      <c r="AO26" s="22">
        <v>1</v>
      </c>
      <c r="AP26" s="22">
        <v>1</v>
      </c>
      <c r="AQ26" s="22">
        <v>1</v>
      </c>
      <c r="AR26" s="22">
        <v>0</v>
      </c>
      <c r="AS26" s="23"/>
      <c r="AT26" s="24">
        <v>0</v>
      </c>
      <c r="AU26" s="25" t="s">
        <v>73</v>
      </c>
    </row>
    <row r="27" spans="1:47" ht="132.94999999999999" customHeight="1" thickBot="1">
      <c r="A27" s="16">
        <v>33</v>
      </c>
      <c r="B27" s="17" t="s">
        <v>175</v>
      </c>
      <c r="C27" s="18" t="s">
        <v>176</v>
      </c>
      <c r="D27" s="19" t="s">
        <v>62</v>
      </c>
      <c r="E27" s="28" t="s">
        <v>177</v>
      </c>
      <c r="F27" s="29" t="s">
        <v>178</v>
      </c>
      <c r="G27" s="27">
        <v>0</v>
      </c>
      <c r="H27" s="19"/>
      <c r="I27" s="20" t="str">
        <f>VLOOKUP(B27,'[1]Action Plan XUV3XO'!A:S,19,FALSE)</f>
        <v>G</v>
      </c>
      <c r="J27" s="19" t="str">
        <f>VLOOKUP(B27,'[1]Action Plan XUV3XO'!$A:$T,20,FALSE)</f>
        <v>Supplier Process</v>
      </c>
      <c r="K27" s="19" t="str">
        <f>VLOOKUP(B27,'[1]Action Plan XUV3XO'!A:Q,17,FALSE)</f>
        <v>E&amp;E</v>
      </c>
      <c r="L27" s="21" t="s">
        <v>166</v>
      </c>
      <c r="M27" s="20" t="s">
        <v>179</v>
      </c>
      <c r="N27" s="21" t="s">
        <v>27</v>
      </c>
      <c r="O27" s="21" t="str">
        <f>IF(J27="M&amp;M Process","M",IF(J27="Supplier Process","P",IF(J27="Under Analysis","U","D")))</f>
        <v>P</v>
      </c>
      <c r="P27" s="21" t="s">
        <v>180</v>
      </c>
      <c r="Q27" s="21" t="s">
        <v>174</v>
      </c>
      <c r="R27" s="22">
        <f t="shared" si="0"/>
        <v>69</v>
      </c>
      <c r="S27" s="22"/>
      <c r="T27" s="22"/>
      <c r="U27" s="22"/>
      <c r="V27" s="22"/>
      <c r="W27" s="22"/>
      <c r="X27" s="22"/>
      <c r="Y27" s="22">
        <v>3</v>
      </c>
      <c r="Z27" s="22">
        <v>4</v>
      </c>
      <c r="AA27" s="22">
        <v>4</v>
      </c>
      <c r="AB27" s="22">
        <v>9</v>
      </c>
      <c r="AC27" s="22">
        <v>11</v>
      </c>
      <c r="AD27" s="22">
        <v>11</v>
      </c>
      <c r="AE27" s="22">
        <v>10</v>
      </c>
      <c r="AF27" s="22">
        <v>2</v>
      </c>
      <c r="AG27" s="22">
        <v>2</v>
      </c>
      <c r="AH27" s="22">
        <v>1</v>
      </c>
      <c r="AI27" s="22">
        <v>3</v>
      </c>
      <c r="AJ27" s="22">
        <v>4</v>
      </c>
      <c r="AK27" s="22">
        <v>4</v>
      </c>
      <c r="AL27" s="22">
        <v>1</v>
      </c>
      <c r="AM27" s="22"/>
      <c r="AN27" s="22"/>
      <c r="AO27" s="22"/>
      <c r="AP27" s="22"/>
      <c r="AQ27" s="22"/>
      <c r="AR27" s="22"/>
      <c r="AS27" s="23"/>
      <c r="AT27" s="24">
        <v>0</v>
      </c>
      <c r="AU27" s="25" t="s">
        <v>30</v>
      </c>
    </row>
    <row r="28" spans="1:47" ht="110.1" customHeight="1" thickBot="1">
      <c r="A28" s="16">
        <v>28</v>
      </c>
      <c r="B28" s="17" t="s">
        <v>181</v>
      </c>
      <c r="C28" s="18" t="s">
        <v>182</v>
      </c>
      <c r="D28" s="19" t="s">
        <v>62</v>
      </c>
      <c r="E28" s="28" t="s">
        <v>183</v>
      </c>
      <c r="F28" s="29" t="s">
        <v>184</v>
      </c>
      <c r="G28" s="27">
        <v>0</v>
      </c>
      <c r="H28" s="19"/>
      <c r="I28" s="20" t="str">
        <f>VLOOKUP(B28,'[1]Action Plan XUV3XO'!A:S,19,FALSE)</f>
        <v>G</v>
      </c>
      <c r="J28" s="19" t="str">
        <f>VLOOKUP(B28,'[1]Action Plan XUV3XO'!$A:$T,20,FALSE)</f>
        <v>M&amp;M Process</v>
      </c>
      <c r="K28" s="19" t="str">
        <f>VLOOKUP(B28,'[1]Action Plan XUV3XO'!A:Q,17,FALSE)</f>
        <v>Air Intake</v>
      </c>
      <c r="L28" s="21" t="s">
        <v>166</v>
      </c>
      <c r="M28" s="20" t="s">
        <v>185</v>
      </c>
      <c r="N28" s="21" t="s">
        <v>27</v>
      </c>
      <c r="O28" s="21" t="str">
        <f>IF(J28="M&amp;M Process","M",IF(J28="Supplier Process","P",IF(J28="Under Analysis","U","D")))</f>
        <v>M</v>
      </c>
      <c r="P28" s="21" t="s">
        <v>186</v>
      </c>
      <c r="Q28" s="21" t="s">
        <v>187</v>
      </c>
      <c r="R28" s="22">
        <f t="shared" si="0"/>
        <v>1</v>
      </c>
      <c r="S28" s="22"/>
      <c r="T28" s="22"/>
      <c r="U28" s="22"/>
      <c r="V28" s="22"/>
      <c r="W28" s="22"/>
      <c r="X28" s="22"/>
      <c r="Y28" s="22">
        <v>1</v>
      </c>
      <c r="Z28" s="22"/>
      <c r="AA28" s="22"/>
      <c r="AB28" s="22"/>
      <c r="AC28" s="22"/>
      <c r="AD28" s="22"/>
      <c r="AE28" s="22"/>
      <c r="AF28" s="22"/>
      <c r="AG28" s="22"/>
      <c r="AH28" s="22"/>
      <c r="AI28" s="22"/>
      <c r="AJ28" s="22"/>
      <c r="AK28" s="22"/>
      <c r="AL28" s="22"/>
      <c r="AM28" s="22"/>
      <c r="AN28" s="22"/>
      <c r="AO28" s="22"/>
      <c r="AP28" s="22"/>
      <c r="AQ28" s="22"/>
      <c r="AR28" s="22"/>
      <c r="AS28" s="23"/>
      <c r="AT28" s="24">
        <v>0</v>
      </c>
      <c r="AU28" s="25" t="s">
        <v>30</v>
      </c>
    </row>
    <row r="29" spans="1:47" ht="110.1" customHeight="1" thickBot="1">
      <c r="A29" s="16">
        <v>29</v>
      </c>
      <c r="B29" s="17" t="s">
        <v>188</v>
      </c>
      <c r="C29" s="18" t="s">
        <v>189</v>
      </c>
      <c r="D29" s="19" t="s">
        <v>62</v>
      </c>
      <c r="E29" s="28" t="s">
        <v>190</v>
      </c>
      <c r="F29" s="29" t="s">
        <v>191</v>
      </c>
      <c r="G29" s="27">
        <v>0</v>
      </c>
      <c r="H29" s="19"/>
      <c r="I29" s="20" t="str">
        <f>VLOOKUP(B29,'[1]Action Plan XUV3XO'!A:S,19,FALSE)</f>
        <v>G</v>
      </c>
      <c r="J29" s="19" t="str">
        <f>VLOOKUP(B29,'[1]Action Plan XUV3XO'!$A:$T,20,FALSE)</f>
        <v>M&amp;M Process</v>
      </c>
      <c r="K29" s="19" t="str">
        <f>VLOOKUP(B29,'[1]Action Plan XUV3XO'!A:Q,17,FALSE)</f>
        <v>Trims</v>
      </c>
      <c r="L29" s="21" t="s">
        <v>166</v>
      </c>
      <c r="M29" s="20" t="s">
        <v>185</v>
      </c>
      <c r="N29" s="21" t="s">
        <v>27</v>
      </c>
      <c r="O29" s="21" t="str">
        <f>IF(J29="M&amp;M Process","M",IF(J29="Supplier Process","P",IF(J29="Under Analysis","U","D")))</f>
        <v>M</v>
      </c>
      <c r="P29" s="21" t="s">
        <v>192</v>
      </c>
      <c r="Q29" s="21" t="s">
        <v>193</v>
      </c>
      <c r="R29" s="22">
        <f t="shared" si="0"/>
        <v>3</v>
      </c>
      <c r="S29" s="22"/>
      <c r="T29" s="22"/>
      <c r="U29" s="22"/>
      <c r="V29" s="22"/>
      <c r="W29" s="22"/>
      <c r="X29" s="22"/>
      <c r="Y29" s="22"/>
      <c r="Z29" s="22"/>
      <c r="AA29" s="22">
        <v>2</v>
      </c>
      <c r="AB29" s="22"/>
      <c r="AC29" s="22">
        <v>1</v>
      </c>
      <c r="AD29" s="22"/>
      <c r="AE29" s="22"/>
      <c r="AF29" s="22"/>
      <c r="AG29" s="22"/>
      <c r="AH29" s="22"/>
      <c r="AI29" s="22"/>
      <c r="AJ29" s="22"/>
      <c r="AK29" s="22"/>
      <c r="AL29" s="22"/>
      <c r="AM29" s="22"/>
      <c r="AN29" s="22"/>
      <c r="AO29" s="22"/>
      <c r="AP29" s="22"/>
      <c r="AQ29" s="22"/>
      <c r="AR29" s="22"/>
      <c r="AS29" s="23"/>
      <c r="AT29" s="24">
        <v>0</v>
      </c>
      <c r="AU29" s="25" t="s">
        <v>30</v>
      </c>
    </row>
    <row r="30" spans="1:47" ht="110.1" customHeight="1" thickBot="1">
      <c r="A30" s="16">
        <v>34</v>
      </c>
      <c r="B30" s="17" t="s">
        <v>194</v>
      </c>
      <c r="C30" s="18" t="s">
        <v>195</v>
      </c>
      <c r="D30" s="19" t="s">
        <v>22</v>
      </c>
      <c r="E30" s="28">
        <v>0</v>
      </c>
      <c r="F30" s="29">
        <v>0</v>
      </c>
      <c r="G30" s="27">
        <v>0</v>
      </c>
      <c r="H30" s="19"/>
      <c r="I30" s="20" t="str">
        <f>VLOOKUP(B30,'[1]Action Plan XUV3XO'!A:S,19,FALSE)</f>
        <v>G</v>
      </c>
      <c r="J30" s="19" t="str">
        <f>VLOOKUP(B30,'[1]Action Plan XUV3XO'!$A:$T,20,FALSE)</f>
        <v>Supplier Design</v>
      </c>
      <c r="K30" s="19" t="str">
        <f>VLOOKUP(B30,'[1]Action Plan XUV3XO'!A:Q,17,FALSE)</f>
        <v>Steering</v>
      </c>
      <c r="L30" s="21" t="s">
        <v>196</v>
      </c>
      <c r="M30" s="20" t="s">
        <v>197</v>
      </c>
      <c r="N30" s="21" t="s">
        <v>27</v>
      </c>
      <c r="O30" s="21" t="str">
        <f>IF(J30="M&amp;M Process","M",IF(J30="Supplier Process","P",IF(J30="Under Analysis","U","D")))</f>
        <v>D</v>
      </c>
      <c r="P30" s="21" t="s">
        <v>198</v>
      </c>
      <c r="Q30" s="21" t="s">
        <v>199</v>
      </c>
      <c r="R30" s="22">
        <f t="shared" si="0"/>
        <v>3</v>
      </c>
      <c r="S30" s="22"/>
      <c r="T30" s="22"/>
      <c r="U30" s="22"/>
      <c r="V30" s="22"/>
      <c r="W30" s="22"/>
      <c r="X30" s="22">
        <v>1</v>
      </c>
      <c r="Y30" s="22">
        <v>1</v>
      </c>
      <c r="Z30" s="22"/>
      <c r="AA30" s="22"/>
      <c r="AB30" s="22">
        <v>1</v>
      </c>
      <c r="AC30" s="22"/>
      <c r="AD30" s="22"/>
      <c r="AE30" s="22"/>
      <c r="AF30" s="22"/>
      <c r="AG30" s="22"/>
      <c r="AH30" s="22"/>
      <c r="AI30" s="22"/>
      <c r="AJ30" s="22"/>
      <c r="AK30" s="22"/>
      <c r="AL30" s="22"/>
      <c r="AM30" s="22"/>
      <c r="AN30" s="22"/>
      <c r="AO30" s="22"/>
      <c r="AP30" s="22"/>
      <c r="AQ30" s="22"/>
      <c r="AR30" s="22"/>
      <c r="AS30" s="23"/>
      <c r="AT30" s="24">
        <v>0</v>
      </c>
      <c r="AU30" s="25" t="s">
        <v>30</v>
      </c>
    </row>
    <row r="31" spans="1:47" ht="110.1" customHeight="1" thickBot="1">
      <c r="A31" s="16">
        <v>32</v>
      </c>
      <c r="B31" s="17" t="s">
        <v>200</v>
      </c>
      <c r="C31" s="18" t="s">
        <v>201</v>
      </c>
      <c r="D31" s="19" t="s">
        <v>62</v>
      </c>
      <c r="E31" s="28">
        <v>0</v>
      </c>
      <c r="F31" s="29">
        <v>0</v>
      </c>
      <c r="G31" s="27">
        <v>0</v>
      </c>
      <c r="H31" s="19"/>
      <c r="I31" s="20" t="str">
        <f>VLOOKUP(B31,'[1]Action Plan XUV3XO'!A:S,19,FALSE)</f>
        <v>G</v>
      </c>
      <c r="J31" s="19" t="str">
        <f>VLOOKUP(B31,'[1]Action Plan XUV3XO'!$A:$T,20,FALSE)</f>
        <v>M&amp;M Process</v>
      </c>
      <c r="K31" s="19" t="str">
        <f>VLOOKUP(B31,'[1]Action Plan XUV3XO'!A:Q,17,FALSE)</f>
        <v>Cooling</v>
      </c>
      <c r="L31" s="21" t="s">
        <v>202</v>
      </c>
      <c r="M31" s="20" t="s">
        <v>203</v>
      </c>
      <c r="N31" s="21" t="s">
        <v>27</v>
      </c>
      <c r="O31" s="21" t="str">
        <f>IF(J31="M&amp;M Process","M",IF(J31="Supplier Process","P",IF(J31="Under Analysis","U","D")))</f>
        <v>M</v>
      </c>
      <c r="P31" s="21" t="s">
        <v>44</v>
      </c>
      <c r="Q31" s="21" t="s">
        <v>45</v>
      </c>
      <c r="R31" s="22">
        <f t="shared" si="0"/>
        <v>1</v>
      </c>
      <c r="S31" s="22"/>
      <c r="T31" s="22"/>
      <c r="U31" s="22"/>
      <c r="V31" s="22"/>
      <c r="W31" s="22"/>
      <c r="X31" s="22"/>
      <c r="Y31" s="22"/>
      <c r="Z31" s="22"/>
      <c r="AA31" s="22">
        <v>1</v>
      </c>
      <c r="AB31" s="22"/>
      <c r="AC31" s="22"/>
      <c r="AD31" s="22"/>
      <c r="AE31" s="22"/>
      <c r="AF31" s="22"/>
      <c r="AG31" s="22"/>
      <c r="AH31" s="22"/>
      <c r="AI31" s="22"/>
      <c r="AJ31" s="22"/>
      <c r="AK31" s="22"/>
      <c r="AL31" s="22"/>
      <c r="AM31" s="22"/>
      <c r="AN31" s="22"/>
      <c r="AO31" s="22"/>
      <c r="AP31" s="22"/>
      <c r="AQ31" s="22"/>
      <c r="AR31" s="22"/>
      <c r="AS31" s="23"/>
      <c r="AT31" s="24">
        <v>0</v>
      </c>
      <c r="AU31" s="25" t="s">
        <v>30</v>
      </c>
    </row>
    <row r="32" spans="1:47" ht="110.1" customHeight="1" thickBot="1">
      <c r="A32" s="16">
        <v>30</v>
      </c>
      <c r="B32" s="17" t="s">
        <v>204</v>
      </c>
      <c r="C32" s="18" t="s">
        <v>205</v>
      </c>
      <c r="D32" s="19" t="s">
        <v>62</v>
      </c>
      <c r="E32" s="28" t="s">
        <v>206</v>
      </c>
      <c r="F32" s="29" t="s">
        <v>207</v>
      </c>
      <c r="G32" s="27">
        <v>0</v>
      </c>
      <c r="H32" s="19"/>
      <c r="I32" s="20" t="str">
        <f>VLOOKUP(B32,'[1]Action Plan XUV3XO'!A:S,19,FALSE)</f>
        <v>G</v>
      </c>
      <c r="J32" s="19" t="str">
        <f>VLOOKUP(B32,'[1]Action Plan XUV3XO'!$A:$T,20,FALSE)</f>
        <v>M&amp;M Process</v>
      </c>
      <c r="K32" s="19" t="str">
        <f>VLOOKUP(B32,'[1]Action Plan XUV3XO'!A:Q,17,FALSE)</f>
        <v>Trims</v>
      </c>
      <c r="L32" s="21" t="s">
        <v>166</v>
      </c>
      <c r="M32" s="20" t="s">
        <v>185</v>
      </c>
      <c r="N32" s="21" t="s">
        <v>27</v>
      </c>
      <c r="O32" s="21" t="str">
        <f>IF(J32="M&amp;M Process","M",IF(J32="Supplier Process","P",IF(J32="Under Analysis","U","D")))</f>
        <v>M</v>
      </c>
      <c r="P32" s="21" t="s">
        <v>208</v>
      </c>
      <c r="Q32" s="21" t="s">
        <v>193</v>
      </c>
      <c r="R32" s="22">
        <f t="shared" si="0"/>
        <v>1</v>
      </c>
      <c r="S32" s="22"/>
      <c r="T32" s="22"/>
      <c r="U32" s="22"/>
      <c r="V32" s="22"/>
      <c r="W32" s="22"/>
      <c r="X32" s="22"/>
      <c r="Y32" s="22"/>
      <c r="Z32" s="22">
        <v>1</v>
      </c>
      <c r="AA32" s="22"/>
      <c r="AB32" s="22"/>
      <c r="AC32" s="22"/>
      <c r="AD32" s="22"/>
      <c r="AE32" s="22"/>
      <c r="AF32" s="22"/>
      <c r="AG32" s="22"/>
      <c r="AH32" s="22"/>
      <c r="AI32" s="22"/>
      <c r="AJ32" s="22"/>
      <c r="AK32" s="22"/>
      <c r="AL32" s="22"/>
      <c r="AM32" s="22"/>
      <c r="AN32" s="22"/>
      <c r="AO32" s="22"/>
      <c r="AP32" s="22"/>
      <c r="AQ32" s="22"/>
      <c r="AR32" s="22"/>
      <c r="AS32" s="23"/>
      <c r="AT32" s="24">
        <v>0</v>
      </c>
      <c r="AU32" s="25" t="s">
        <v>30</v>
      </c>
    </row>
    <row r="33" spans="1:47" ht="110.1" customHeight="1" thickBot="1">
      <c r="A33" s="16">
        <v>31</v>
      </c>
      <c r="B33" s="17" t="s">
        <v>209</v>
      </c>
      <c r="C33" s="18" t="s">
        <v>210</v>
      </c>
      <c r="D33" s="19" t="s">
        <v>62</v>
      </c>
      <c r="E33" s="28" t="s">
        <v>211</v>
      </c>
      <c r="F33" s="29" t="s">
        <v>212</v>
      </c>
      <c r="G33" s="27">
        <v>0</v>
      </c>
      <c r="H33" s="19"/>
      <c r="I33" s="20" t="str">
        <f>VLOOKUP(B33,'[1]Action Plan XUV3XO'!A:S,19,FALSE)</f>
        <v>G</v>
      </c>
      <c r="J33" s="19" t="str">
        <f>VLOOKUP(B33,'[1]Action Plan XUV3XO'!$A:$T,20,FALSE)</f>
        <v>M&amp;M Process</v>
      </c>
      <c r="K33" s="19" t="str">
        <f>VLOOKUP(B33,'[1]Action Plan XUV3XO'!A:Q,17,FALSE)</f>
        <v>Wheels &amp; Tyres</v>
      </c>
      <c r="L33" s="21" t="s">
        <v>196</v>
      </c>
      <c r="M33" s="20" t="s">
        <v>213</v>
      </c>
      <c r="N33" s="21" t="s">
        <v>27</v>
      </c>
      <c r="O33" s="21" t="str">
        <f>IF(J33="M&amp;M Process","M",IF(J33="Supplier Process","P",IF(J33="Under Analysis","U","D")))</f>
        <v>M</v>
      </c>
      <c r="P33" s="21" t="s">
        <v>214</v>
      </c>
      <c r="Q33" s="21" t="s">
        <v>193</v>
      </c>
      <c r="R33" s="22">
        <f t="shared" si="0"/>
        <v>2</v>
      </c>
      <c r="S33" s="22"/>
      <c r="T33" s="22"/>
      <c r="U33" s="22"/>
      <c r="V33" s="22"/>
      <c r="W33" s="22"/>
      <c r="X33" s="22">
        <v>1</v>
      </c>
      <c r="Y33" s="22"/>
      <c r="Z33" s="22"/>
      <c r="AA33" s="22">
        <v>1</v>
      </c>
      <c r="AB33" s="22"/>
      <c r="AC33" s="22"/>
      <c r="AD33" s="22"/>
      <c r="AE33" s="22"/>
      <c r="AF33" s="22"/>
      <c r="AG33" s="22"/>
      <c r="AH33" s="22"/>
      <c r="AI33" s="22"/>
      <c r="AJ33" s="22"/>
      <c r="AK33" s="22"/>
      <c r="AL33" s="22"/>
      <c r="AM33" s="22"/>
      <c r="AN33" s="22"/>
      <c r="AO33" s="22"/>
      <c r="AP33" s="22"/>
      <c r="AQ33" s="22"/>
      <c r="AR33" s="22"/>
      <c r="AS33" s="23"/>
      <c r="AT33" s="24">
        <v>0</v>
      </c>
      <c r="AU33" s="25" t="s">
        <v>30</v>
      </c>
    </row>
    <row r="34" spans="1:47" ht="110.1" customHeight="1" thickBot="1">
      <c r="A34" s="16">
        <v>27</v>
      </c>
      <c r="B34" s="17" t="s">
        <v>215</v>
      </c>
      <c r="C34" s="18" t="s">
        <v>216</v>
      </c>
      <c r="D34" s="19" t="s">
        <v>62</v>
      </c>
      <c r="E34" s="28" t="s">
        <v>217</v>
      </c>
      <c r="F34" s="29" t="s">
        <v>218</v>
      </c>
      <c r="G34" s="27" t="s">
        <v>219</v>
      </c>
      <c r="H34" s="19"/>
      <c r="I34" s="20" t="str">
        <f>VLOOKUP(B34,'[1]Action Plan XUV3XO'!A:S,19,FALSE)</f>
        <v>Y</v>
      </c>
      <c r="J34" s="19" t="str">
        <f>VLOOKUP(B34,'[1]Action Plan XUV3XO'!$A:$T,20,FALSE)</f>
        <v>M&amp;M Process</v>
      </c>
      <c r="K34" s="19" t="str">
        <f>VLOOKUP(B34,'[1]Action Plan XUV3XO'!A:Q,17,FALSE)</f>
        <v>BIW</v>
      </c>
      <c r="L34" s="21" t="s">
        <v>220</v>
      </c>
      <c r="M34" s="20" t="s">
        <v>125</v>
      </c>
      <c r="N34" s="21" t="s">
        <v>27</v>
      </c>
      <c r="O34" s="21" t="str">
        <f>IF(J34="M&amp;M Process","M",IF(J34="Supplier Process","P",IF(J34="Under Analysis","U","D")))</f>
        <v>M</v>
      </c>
      <c r="P34" s="21" t="s">
        <v>126</v>
      </c>
      <c r="Q34" s="21" t="s">
        <v>221</v>
      </c>
      <c r="R34" s="22">
        <f t="shared" si="0"/>
        <v>2</v>
      </c>
      <c r="S34" s="22"/>
      <c r="T34" s="22"/>
      <c r="U34" s="22"/>
      <c r="V34" s="22"/>
      <c r="W34" s="22"/>
      <c r="X34" s="22"/>
      <c r="Y34" s="22"/>
      <c r="Z34" s="22"/>
      <c r="AA34" s="22"/>
      <c r="AB34" s="22"/>
      <c r="AC34" s="22"/>
      <c r="AD34" s="22"/>
      <c r="AE34" s="22"/>
      <c r="AF34" s="22"/>
      <c r="AG34" s="22"/>
      <c r="AH34" s="22"/>
      <c r="AI34" s="22"/>
      <c r="AJ34" s="22"/>
      <c r="AK34" s="22"/>
      <c r="AL34" s="22"/>
      <c r="AM34" s="22"/>
      <c r="AN34" s="22">
        <v>2</v>
      </c>
      <c r="AO34" s="22">
        <v>0</v>
      </c>
      <c r="AP34" s="22">
        <v>0</v>
      </c>
      <c r="AQ34" s="22">
        <v>0</v>
      </c>
      <c r="AR34" s="22">
        <v>0</v>
      </c>
      <c r="AS34" s="23"/>
      <c r="AT34" s="24">
        <v>0</v>
      </c>
      <c r="AU34" s="25" t="s">
        <v>30</v>
      </c>
    </row>
    <row r="35" spans="1:47" ht="110.1" customHeight="1" thickBot="1">
      <c r="A35" s="16">
        <v>28</v>
      </c>
      <c r="B35" s="17" t="s">
        <v>222</v>
      </c>
      <c r="C35" s="18" t="s">
        <v>223</v>
      </c>
      <c r="D35" s="19" t="s">
        <v>62</v>
      </c>
      <c r="E35" s="28" t="s">
        <v>224</v>
      </c>
      <c r="F35" s="29" t="s">
        <v>225</v>
      </c>
      <c r="G35" s="27">
        <v>45966</v>
      </c>
      <c r="H35" s="19"/>
      <c r="I35" s="20" t="str">
        <f>VLOOKUP(B35,'[1]Action Plan XUV3XO'!A:S,19,FALSE)</f>
        <v>Y</v>
      </c>
      <c r="J35" s="19" t="str">
        <f>VLOOKUP(B35,'[1]Action Plan XUV3XO'!$A:$T,20,FALSE)</f>
        <v>Supplier Process</v>
      </c>
      <c r="K35" s="19" t="str">
        <f>VLOOKUP(B35,'[1]Action Plan XUV3XO'!A:Q,17,FALSE)</f>
        <v>BIW</v>
      </c>
      <c r="L35" s="21" t="s">
        <v>63</v>
      </c>
      <c r="M35" s="20" t="s">
        <v>154</v>
      </c>
      <c r="N35" s="21" t="s">
        <v>27</v>
      </c>
      <c r="O35" s="21" t="str">
        <f>IF(J35="M&amp;M Process","M",IF(J35="Supplier Process","P",IF(J35="Under Analysis","U","D")))</f>
        <v>P</v>
      </c>
      <c r="P35" s="21" t="s">
        <v>226</v>
      </c>
      <c r="Q35" s="21" t="s">
        <v>221</v>
      </c>
      <c r="R35" s="22">
        <f t="shared" si="0"/>
        <v>2</v>
      </c>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v>1</v>
      </c>
      <c r="AQ35" s="22">
        <v>1</v>
      </c>
      <c r="AR35" s="22">
        <v>0</v>
      </c>
      <c r="AS35" s="23"/>
      <c r="AT35" s="24">
        <v>0</v>
      </c>
      <c r="AU35" s="25" t="s">
        <v>73</v>
      </c>
    </row>
    <row r="36" spans="1:47" ht="110.1" customHeight="1">
      <c r="A36" s="16">
        <v>5</v>
      </c>
      <c r="B36" s="17" t="s">
        <v>227</v>
      </c>
      <c r="C36" s="18" t="s">
        <v>228</v>
      </c>
      <c r="D36" s="19" t="s">
        <v>22</v>
      </c>
      <c r="E36" s="28" t="s">
        <v>229</v>
      </c>
      <c r="F36" s="29" t="s">
        <v>230</v>
      </c>
      <c r="G36" s="27">
        <v>0</v>
      </c>
      <c r="H36" s="19"/>
      <c r="I36" s="20" t="str">
        <f>VLOOKUP(B36,'[1]Action Plan XUV3XO'!A:S,19,FALSE)</f>
        <v>G</v>
      </c>
      <c r="J36" s="19" t="str">
        <f>VLOOKUP(B36,'[1]Action Plan XUV3XO'!$A:$T,20,FALSE)</f>
        <v>M&amp;M Design</v>
      </c>
      <c r="K36" s="19" t="str">
        <f>VLOOKUP(B36,'[1]Action Plan XUV3XO'!A:Q,17,FALSE)</f>
        <v>Air Intake</v>
      </c>
      <c r="L36" s="21" t="s">
        <v>202</v>
      </c>
      <c r="M36" s="20" t="s">
        <v>203</v>
      </c>
      <c r="N36" s="21" t="s">
        <v>27</v>
      </c>
      <c r="O36" s="21" t="str">
        <f>IF(J36="M&amp;M Process","M",IF(J36="Supplier Process","P",IF(J36="Under Analysis","U","D")))</f>
        <v>D</v>
      </c>
      <c r="P36" s="21" t="s">
        <v>231</v>
      </c>
      <c r="Q36" s="21" t="s">
        <v>232</v>
      </c>
      <c r="R36" s="22">
        <f t="shared" si="0"/>
        <v>19</v>
      </c>
      <c r="S36" s="22"/>
      <c r="T36" s="22"/>
      <c r="U36" s="22"/>
      <c r="V36" s="22"/>
      <c r="W36" s="22">
        <v>1</v>
      </c>
      <c r="X36" s="22"/>
      <c r="Y36" s="22"/>
      <c r="Z36" s="22">
        <v>2</v>
      </c>
      <c r="AA36" s="22">
        <v>1</v>
      </c>
      <c r="AB36" s="22">
        <v>2</v>
      </c>
      <c r="AC36" s="22">
        <v>3</v>
      </c>
      <c r="AD36" s="22">
        <v>5</v>
      </c>
      <c r="AE36" s="22">
        <v>5</v>
      </c>
      <c r="AF36" s="22"/>
      <c r="AG36" s="22"/>
      <c r="AH36" s="22"/>
      <c r="AI36" s="22"/>
      <c r="AJ36" s="22"/>
      <c r="AK36" s="22"/>
      <c r="AL36" s="22"/>
      <c r="AM36" s="22"/>
      <c r="AN36" s="22"/>
      <c r="AO36" s="22"/>
      <c r="AP36" s="22"/>
      <c r="AQ36" s="22"/>
      <c r="AR36" s="22"/>
      <c r="AS36" s="23"/>
      <c r="AT36" s="24">
        <v>0</v>
      </c>
      <c r="AU36" s="25" t="s">
        <v>30</v>
      </c>
    </row>
  </sheetData>
  <conditionalFormatting sqref="C1:C36">
    <cfRule type="duplicateValues" dxfId="13" priority="18"/>
  </conditionalFormatting>
  <conditionalFormatting sqref="I2:I36">
    <cfRule type="cellIs" dxfId="12" priority="4" operator="equal">
      <formula>0</formula>
    </cfRule>
    <cfRule type="cellIs" dxfId="11" priority="5" operator="equal">
      <formula>"O"</formula>
    </cfRule>
    <cfRule type="cellIs" dxfId="10" priority="6" operator="equal">
      <formula>"G"</formula>
    </cfRule>
    <cfRule type="cellIs" dxfId="9" priority="7" operator="equal">
      <formula>"R"</formula>
    </cfRule>
    <cfRule type="cellIs" dxfId="8" priority="8" operator="equal">
      <formula>"Y"</formula>
    </cfRule>
    <cfRule type="cellIs" dxfId="7" priority="9" operator="equal">
      <formula>"B"</formula>
    </cfRule>
    <cfRule type="cellIs" dxfId="6" priority="10" stopIfTrue="1" operator="equal">
      <formula>"O"</formula>
    </cfRule>
  </conditionalFormatting>
  <conditionalFormatting sqref="R2:AS36">
    <cfRule type="cellIs" dxfId="5" priority="13" operator="equal">
      <formula>0</formula>
    </cfRule>
    <cfRule type="cellIs" dxfId="4" priority="14" operator="greaterThan">
      <formula>0</formula>
    </cfRule>
  </conditionalFormatting>
  <conditionalFormatting sqref="AU2:AU36">
    <cfRule type="containsBlanks" dxfId="3" priority="15">
      <formula>LEN(TRIM(AU2))=0</formula>
    </cfRule>
    <cfRule type="containsText" dxfId="2" priority="16" operator="containsText" text="R">
      <formula>NOT(ISERROR(SEARCH("R",AU2)))</formula>
    </cfRule>
    <cfRule type="containsText" dxfId="1" priority="17" operator="containsText" text="G">
      <formula>NOT(ISERROR(SEARCH("G",AU2)))</formula>
    </cfRule>
  </conditionalFormatting>
  <conditionalFormatting sqref="G2:G36">
    <cfRule type="cellIs" dxfId="0" priority="1" operator="equal">
      <formula>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JADHAV AJINKYA</dc:creator>
  <cp:keywords/>
  <dc:description/>
  <cp:lastModifiedBy>JADHAV PARTH</cp:lastModifiedBy>
  <cp:revision/>
  <dcterms:created xsi:type="dcterms:W3CDTF">2026-03-20T11:37:12Z</dcterms:created>
  <dcterms:modified xsi:type="dcterms:W3CDTF">2026-03-20T12:06:27Z</dcterms:modified>
  <cp:category/>
  <cp:contentStatus/>
</cp:coreProperties>
</file>